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erson\Downloads\"/>
    </mc:Choice>
  </mc:AlternateContent>
  <xr:revisionPtr revIDLastSave="0" documentId="13_ncr:1_{63897DF2-A9E3-422E-B6B0-4575DEA32A89}" xr6:coauthVersionLast="47" xr6:coauthVersionMax="47" xr10:uidLastSave="{00000000-0000-0000-0000-000000000000}"/>
  <bookViews>
    <workbookView xWindow="-120" yWindow="-120" windowWidth="29040" windowHeight="16440" activeTab="4" xr2:uid="{460B75DA-C666-464C-971D-95AEB43A337B}"/>
  </bookViews>
  <sheets>
    <sheet name="Dashboard" sheetId="1" r:id="rId1"/>
    <sheet name="Fertilizante" sheetId="2" r:id="rId2"/>
    <sheet name="Receitas" sheetId="4" r:id="rId3"/>
    <sheet name="Core" sheetId="8" r:id="rId4"/>
    <sheet name="Resultados" sheetId="6" r:id="rId5"/>
    <sheet name="Agua" sheetId="3" r:id="rId6"/>
    <sheet name="Historico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8" l="1"/>
  <c r="P4" i="8" s="1"/>
  <c r="O2" i="8"/>
  <c r="AA2" i="8" s="1"/>
  <c r="O3" i="8"/>
  <c r="AA3" i="8" s="1"/>
  <c r="O4" i="8"/>
  <c r="AA4" i="8" s="1"/>
  <c r="O5" i="8"/>
  <c r="AA5" i="8" s="1"/>
  <c r="O6" i="8"/>
  <c r="AA6" i="8" s="1"/>
  <c r="O7" i="8"/>
  <c r="AA7" i="8" s="1"/>
  <c r="N2" i="8"/>
  <c r="Z2" i="8" s="1"/>
  <c r="N3" i="8"/>
  <c r="Z3" i="8" s="1"/>
  <c r="N4" i="8"/>
  <c r="Z4" i="8" s="1"/>
  <c r="N5" i="8"/>
  <c r="Z5" i="8" s="1"/>
  <c r="N6" i="8"/>
  <c r="Z6" i="8" s="1"/>
  <c r="N7" i="8"/>
  <c r="Z7" i="8" s="1"/>
  <c r="M2" i="8"/>
  <c r="Y2" i="8" s="1"/>
  <c r="M3" i="8"/>
  <c r="Y3" i="8" s="1"/>
  <c r="M4" i="8"/>
  <c r="Y4" i="8" s="1"/>
  <c r="M5" i="8"/>
  <c r="Y5" i="8" s="1"/>
  <c r="M6" i="8"/>
  <c r="Y6" i="8" s="1"/>
  <c r="M7" i="8"/>
  <c r="Y7" i="8" s="1"/>
  <c r="L2" i="8"/>
  <c r="X2" i="8" s="1"/>
  <c r="L3" i="8"/>
  <c r="X3" i="8" s="1"/>
  <c r="L4" i="8"/>
  <c r="X4" i="8" s="1"/>
  <c r="L5" i="8"/>
  <c r="X5" i="8" s="1"/>
  <c r="L6" i="8"/>
  <c r="X6" i="8" s="1"/>
  <c r="L7" i="8"/>
  <c r="X7" i="8" s="1"/>
  <c r="K2" i="8"/>
  <c r="W2" i="8" s="1"/>
  <c r="K3" i="8"/>
  <c r="W3" i="8" s="1"/>
  <c r="K4" i="8"/>
  <c r="W4" i="8" s="1"/>
  <c r="K5" i="8"/>
  <c r="W5" i="8" s="1"/>
  <c r="K6" i="8"/>
  <c r="W6" i="8" s="1"/>
  <c r="K7" i="8"/>
  <c r="W7" i="8" s="1"/>
  <c r="J2" i="8"/>
  <c r="V2" i="8" s="1"/>
  <c r="J3" i="8"/>
  <c r="V3" i="8" s="1"/>
  <c r="J4" i="8"/>
  <c r="V4" i="8" s="1"/>
  <c r="J5" i="8"/>
  <c r="V5" i="8" s="1"/>
  <c r="J6" i="8"/>
  <c r="V6" i="8" s="1"/>
  <c r="J7" i="8"/>
  <c r="V7" i="8" s="1"/>
  <c r="I2" i="8"/>
  <c r="U2" i="8" s="1"/>
  <c r="I3" i="8"/>
  <c r="U3" i="8" s="1"/>
  <c r="I4" i="8"/>
  <c r="U4" i="8" s="1"/>
  <c r="I5" i="8"/>
  <c r="U5" i="8" s="1"/>
  <c r="I6" i="8"/>
  <c r="U6" i="8" s="1"/>
  <c r="I7" i="8"/>
  <c r="U7" i="8" s="1"/>
  <c r="H2" i="8"/>
  <c r="T2" i="8" s="1"/>
  <c r="H3" i="8"/>
  <c r="T3" i="8" s="1"/>
  <c r="H4" i="8"/>
  <c r="T4" i="8" s="1"/>
  <c r="H5" i="8"/>
  <c r="T5" i="8" s="1"/>
  <c r="H6" i="8"/>
  <c r="T6" i="8" s="1"/>
  <c r="H7" i="8"/>
  <c r="T7" i="8" s="1"/>
  <c r="G2" i="8"/>
  <c r="S2" i="8" s="1"/>
  <c r="G3" i="8"/>
  <c r="S3" i="8" s="1"/>
  <c r="G4" i="8"/>
  <c r="S4" i="8" s="1"/>
  <c r="G5" i="8"/>
  <c r="S5" i="8" s="1"/>
  <c r="G6" i="8"/>
  <c r="S6" i="8" s="1"/>
  <c r="G7" i="8"/>
  <c r="S7" i="8" s="1"/>
  <c r="F2" i="8"/>
  <c r="R2" i="8" s="1"/>
  <c r="F3" i="8"/>
  <c r="R3" i="8" s="1"/>
  <c r="F4" i="8"/>
  <c r="R4" i="8" s="1"/>
  <c r="F5" i="8"/>
  <c r="R5" i="8" s="1"/>
  <c r="F6" i="8"/>
  <c r="R6" i="8" s="1"/>
  <c r="F7" i="8"/>
  <c r="R7" i="8" s="1"/>
  <c r="E2" i="8"/>
  <c r="Q2" i="8" s="1"/>
  <c r="E3" i="8"/>
  <c r="Q3" i="8" s="1"/>
  <c r="E4" i="8"/>
  <c r="Q4" i="8" s="1"/>
  <c r="E5" i="8"/>
  <c r="Q5" i="8" s="1"/>
  <c r="E6" i="8"/>
  <c r="Q6" i="8" s="1"/>
  <c r="E7" i="8"/>
  <c r="Q7" i="8" s="1"/>
  <c r="D2" i="8"/>
  <c r="P2" i="8" s="1"/>
  <c r="D3" i="8"/>
  <c r="P3" i="8" s="1"/>
  <c r="D5" i="8"/>
  <c r="P5" i="8" s="1"/>
  <c r="D6" i="8"/>
  <c r="P6" i="8" s="1"/>
  <c r="D7" i="8"/>
  <c r="P7" i="8" s="1"/>
  <c r="B13" i="8" l="1"/>
  <c r="B22" i="8"/>
  <c r="B21" i="8"/>
  <c r="B20" i="8"/>
  <c r="B12" i="8"/>
  <c r="B19" i="8"/>
  <c r="B14" i="8"/>
  <c r="B18" i="8"/>
  <c r="B17" i="8"/>
  <c r="B16" i="8"/>
  <c r="B15" i="8"/>
  <c r="B11" i="8"/>
</calcChain>
</file>

<file path=xl/sharedStrings.xml><?xml version="1.0" encoding="utf-8"?>
<sst xmlns="http://schemas.openxmlformats.org/spreadsheetml/2006/main" count="141" uniqueCount="96">
  <si>
    <t>Fabricante</t>
  </si>
  <si>
    <t>Parametro</t>
  </si>
  <si>
    <t>Valor</t>
  </si>
  <si>
    <t>EC</t>
  </si>
  <si>
    <t>pH</t>
  </si>
  <si>
    <t>Ca</t>
  </si>
  <si>
    <t>Mg</t>
  </si>
  <si>
    <t>Na</t>
  </si>
  <si>
    <t>CL</t>
  </si>
  <si>
    <t>Bicarbonato</t>
  </si>
  <si>
    <t>Nitrato de cálcio</t>
  </si>
  <si>
    <t>MKP</t>
  </si>
  <si>
    <t>Sulfato de magnésio</t>
  </si>
  <si>
    <t>F001</t>
  </si>
  <si>
    <t>ID</t>
  </si>
  <si>
    <t>Solubilidade (g/L)</t>
  </si>
  <si>
    <t>Preço (R$/Kg)</t>
  </si>
  <si>
    <t>Observações</t>
  </si>
  <si>
    <t>F002</t>
  </si>
  <si>
    <t>Nitrato de potássio</t>
  </si>
  <si>
    <t>F003</t>
  </si>
  <si>
    <t>F004</t>
  </si>
  <si>
    <t>F005</t>
  </si>
  <si>
    <t>Sulfato de potássio</t>
  </si>
  <si>
    <t>F006</t>
  </si>
  <si>
    <t>Micromix Rigrantec</t>
  </si>
  <si>
    <t>A</t>
  </si>
  <si>
    <t>B</t>
  </si>
  <si>
    <t>Grupo de concentrado</t>
  </si>
  <si>
    <t>Produto</t>
  </si>
  <si>
    <t>Quantidade (g/L)</t>
  </si>
  <si>
    <t>Micromix</t>
  </si>
  <si>
    <t>ID Receita</t>
  </si>
  <si>
    <t>Nome Receita</t>
  </si>
  <si>
    <t>Fertilizante</t>
  </si>
  <si>
    <t>Grupo</t>
  </si>
  <si>
    <t>R001</t>
  </si>
  <si>
    <t>Vegetativo</t>
  </si>
  <si>
    <t>Sulfato Mg</t>
  </si>
  <si>
    <t>Ferilizante</t>
  </si>
  <si>
    <t xml:space="preserve"> g/L</t>
  </si>
  <si>
    <t>N</t>
  </si>
  <si>
    <t>P</t>
  </si>
  <si>
    <t>K</t>
  </si>
  <si>
    <t>S</t>
  </si>
  <si>
    <t>Fe</t>
  </si>
  <si>
    <t>Mn</t>
  </si>
  <si>
    <t>Zn</t>
  </si>
  <si>
    <t>Cu</t>
  </si>
  <si>
    <t>Mo</t>
  </si>
  <si>
    <t>N ppm</t>
  </si>
  <si>
    <t>P ppm</t>
  </si>
  <si>
    <t>K ppm</t>
  </si>
  <si>
    <t>Ca ppm</t>
  </si>
  <si>
    <t>Mg ppm</t>
  </si>
  <si>
    <t>S ppm</t>
  </si>
  <si>
    <t>Fe ppm</t>
  </si>
  <si>
    <t>Mn ppm</t>
  </si>
  <si>
    <t>Zn ppm</t>
  </si>
  <si>
    <t>B ppm</t>
  </si>
  <si>
    <t>Cu ppm</t>
  </si>
  <si>
    <t>Mo ppm</t>
  </si>
  <si>
    <t>Nitrogênio (N)</t>
  </si>
  <si>
    <t>Fósforo (P)</t>
  </si>
  <si>
    <t>Potássio (K)</t>
  </si>
  <si>
    <t>Cálcio (Ca)</t>
  </si>
  <si>
    <t>Magnésio (Mg)</t>
  </si>
  <si>
    <t>Enxofre (S)</t>
  </si>
  <si>
    <t>Ferro (Fe)</t>
  </si>
  <si>
    <t>Manganês (Mn)</t>
  </si>
  <si>
    <t>Zinco (Zn)</t>
  </si>
  <si>
    <t>Boro (B)</t>
  </si>
  <si>
    <t>Cobre (Cu)</t>
  </si>
  <si>
    <t>Molibdênio (Mo)</t>
  </si>
  <si>
    <t>N%</t>
  </si>
  <si>
    <t>P%</t>
  </si>
  <si>
    <t>K%</t>
  </si>
  <si>
    <t>Ca%</t>
  </si>
  <si>
    <t>Mg%</t>
  </si>
  <si>
    <t>S%</t>
  </si>
  <si>
    <t>Fe%</t>
  </si>
  <si>
    <t>Mn%</t>
  </si>
  <si>
    <t>Zn%</t>
  </si>
  <si>
    <t>B%</t>
  </si>
  <si>
    <t>Cu%</t>
  </si>
  <si>
    <t>Mo%</t>
  </si>
  <si>
    <t>Formula</t>
  </si>
  <si>
    <t>Nutriente</t>
  </si>
  <si>
    <t>Total</t>
  </si>
  <si>
    <t>Categoria</t>
  </si>
  <si>
    <t>Macronutrientes</t>
  </si>
  <si>
    <t>Micronutrientes</t>
  </si>
  <si>
    <t>Elemnto Principal</t>
  </si>
  <si>
    <t>Micro</t>
  </si>
  <si>
    <t>ppm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</si>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</sst>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/>
    </xf>
  </cellXfs>
  <cellStyles count="2">
    <cellStyle name="Normal" xfId="0" builtinId="0"/>
    <cellStyle name="Porcentagem" xfId="1" builtinId="5"/>
  </cellStyles>
  <dxfs count="59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276225</xdr:colOff>
      <xdr:row>19</xdr:row>
      <xdr:rowOff>85725</xdr:rowOff>
    </xdr:from>
    <xdr:to>
      <xdr:col>18</xdr:col>
      <xdr:colOff>132867</xdr:colOff>
      <xdr:row>34</xdr:row>
      <xdr:rowOff>171082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D7F1254-67F1-7A83-7F11-3101C6314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91600" y="3705225"/>
          <a:ext cx="3866667" cy="294285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C143D1-2763-45E0-A650-B62B9F30D4B7}" name="tbFertilizantes" displayName="tbFertilizantes" ref="A1:V7" totalsRowShown="0" headerRowDxfId="21">
  <autoFilter ref="A1:V7" xr:uid="{E7C143D1-2763-45E0-A650-B62B9F30D4B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</autoFilter>
  <tableColumns count="22">
    <tableColumn id="1" xr3:uid="{A2D5B959-4CFE-41FF-BC56-0ED245C25662}" name="ID" dataDxfId="20"/>
    <tableColumn id="2" xr3:uid="{54153458-FF24-4BE8-B3E4-9333239EE6AA}" name="Produto" dataDxfId="19"/>
    <tableColumn id="3" xr3:uid="{FAD8C287-0303-4CF4-ACB2-1DA5C6009CA4}" name="Fabricante" dataDxfId="18"/>
    <tableColumn id="4" xr3:uid="{BC5F9AED-CB7E-4034-B0C1-52F67DFF7AC0}" name="Formula" dataDxfId="17"/>
    <tableColumn id="5" xr3:uid="{AD0F1A8E-626E-4680-9E06-6F4AE92225D5}" name="N" dataDxfId="16"/>
    <tableColumn id="6" xr3:uid="{C9064F87-9D4A-4F81-BA6E-3F989239C85C}" name="P" dataDxfId="15"/>
    <tableColumn id="7" xr3:uid="{B1E6223E-C0AE-462D-B234-3496FA6557FE}" name="K" dataDxfId="14"/>
    <tableColumn id="8" xr3:uid="{87CA8122-2D4E-40D5-8337-3B1170425E83}" name="Ca" dataDxfId="13"/>
    <tableColumn id="9" xr3:uid="{20D89E3E-02E5-45FB-951D-019143B8D0FD}" name="Mg" dataDxfId="12"/>
    <tableColumn id="10" xr3:uid="{4331F3AA-3217-4802-8396-EB8F73E23B79}" name="S" dataDxfId="11"/>
    <tableColumn id="11" xr3:uid="{8774BCE4-E672-4957-BEA8-4C83A072A375}" name="Fe" dataDxfId="10"/>
    <tableColumn id="12" xr3:uid="{C439FC58-742E-466F-B739-BB7047BA2264}" name="Mn" dataDxfId="9"/>
    <tableColumn id="13" xr3:uid="{CCF46CA3-6CA5-4697-9E1F-93ED13D77CD3}" name="Zn" dataDxfId="8"/>
    <tableColumn id="14" xr3:uid="{7A1A50A1-E85A-4BAD-95F2-8203DA737C11}" name="B" dataDxfId="7"/>
    <tableColumn id="15" xr3:uid="{713E21AF-495B-40E7-BBAB-95882468D61B}" name="Cu" dataDxfId="6"/>
    <tableColumn id="16" xr3:uid="{95AB7424-53CC-469E-A672-316BEA2C5DD3}" name="Mo" dataDxfId="5"/>
    <tableColumn id="17" xr3:uid="{F657BD02-0735-413F-999A-3AD63FD4BD12}" name="Solubilidade (g/L)" dataDxfId="4"/>
    <tableColumn id="18" xr3:uid="{7D18331B-D187-40EA-A416-22BC6D802169}" name="Preço (R$/Kg)" dataDxfId="3"/>
    <tableColumn id="19" xr3:uid="{517FA329-02F0-4B9D-8205-F5178B426D26}" name="Grupo de concentrado" dataDxfId="2"/>
    <tableColumn id="20" xr3:uid="{09C2E469-2898-4054-BF94-7E1D2B019E71}" name="Observações" dataDxfId="1"/>
    <tableColumn id="21" xr3:uid="{FF527B04-6A97-4781-B26B-5BE6D5F7E717}" name="Categoria" dataDxfId="0"/>
    <tableColumn id="22" xr3:uid="{B9B62B91-2A31-4445-ADEA-C95319A4FBEE}" name="Elemnto Principal" dataDxfId="2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D45FC0-2870-4D2D-9F48-65A968840A8A}" name="tbCore" displayName="tbCore" ref="A1:AA7" totalsRowShown="0" headerRowDxfId="58" dataDxfId="56" headerRowBorderDxfId="57" tableBorderDxfId="55" totalsRowBorderDxfId="54">
  <autoFilter ref="A1:AA7" xr:uid="{36D45FC0-2870-4D2D-9F48-65A968840A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</autoFilter>
  <tableColumns count="27">
    <tableColumn id="1" xr3:uid="{76144110-7C5B-40DD-9FA1-1804EDDC887A}" name="Ferilizante" dataDxfId="53"/>
    <tableColumn id="2" xr3:uid="{10BA7E9E-ECBA-43AF-8A4F-863888E51EB4}" name=" g/L" dataDxfId="52"/>
    <tableColumn id="3" xr3:uid="{071368D0-EBC2-4032-93AC-5DB90A2BD224}" name="ID" dataDxfId="51"/>
    <tableColumn id="4" xr3:uid="{071736F8-1715-4240-91AA-D56D2D50F809}" name="N%" dataDxfId="50">
      <calculatedColumnFormula>_xlfn.XLOOKUP(A2,tbFertilizantes[Produto],tbFertilizantes[N],0)</calculatedColumnFormula>
    </tableColumn>
    <tableColumn id="5" xr3:uid="{C20B8301-E9FA-4A62-B81D-CB29350E257D}" name="P%" dataDxfId="49">
      <calculatedColumnFormula>_xlfn.XLOOKUP(A2,tbFertilizantes[Produto],tbFertilizantes[P],0)</calculatedColumnFormula>
    </tableColumn>
    <tableColumn id="6" xr3:uid="{D421A141-BF96-4F56-B9AC-B09E23DE53D5}" name="K%" dataDxfId="48">
      <calculatedColumnFormula>_xlfn.XLOOKUP(A2,tbFertilizantes[Produto],tbFertilizantes[K],0)</calculatedColumnFormula>
    </tableColumn>
    <tableColumn id="7" xr3:uid="{CDBD4152-9341-40E6-88A4-64B4D0CC74ED}" name="Ca%" dataDxfId="47">
      <calculatedColumnFormula>_xlfn.XLOOKUP(A2,tbFertilizantes[Produto],tbFertilizantes[Ca],0)</calculatedColumnFormula>
    </tableColumn>
    <tableColumn id="8" xr3:uid="{45116017-A258-437E-8AC5-C287F946F1DD}" name="Mg%" dataDxfId="46">
      <calculatedColumnFormula>_xlfn.XLOOKUP(A2,tbFertilizantes[Produto],tbFertilizantes[Mg],0)</calculatedColumnFormula>
    </tableColumn>
    <tableColumn id="9" xr3:uid="{5E6F012E-FB69-498B-B71E-2657778768C5}" name="S%" dataDxfId="45">
      <calculatedColumnFormula>_xlfn.XLOOKUP(A2,tbFertilizantes[Produto],tbFertilizantes[S],0)</calculatedColumnFormula>
    </tableColumn>
    <tableColumn id="10" xr3:uid="{E297B97B-F266-4204-B736-ABABD73533F3}" name="Fe%" dataDxfId="44">
      <calculatedColumnFormula>_xlfn.XLOOKUP(A2,tbFertilizantes[Produto],tbFertilizantes[Fe],0)</calculatedColumnFormula>
    </tableColumn>
    <tableColumn id="11" xr3:uid="{62C497F4-2678-403F-A627-1FE9CF7127CE}" name="Mn%" dataDxfId="43">
      <calculatedColumnFormula>_xlfn.XLOOKUP(A2,tbFertilizantes[Produto],tbFertilizantes[Zn],0)</calculatedColumnFormula>
    </tableColumn>
    <tableColumn id="12" xr3:uid="{8B9DD9A9-951B-4A1F-AE92-E121ADA4F15D}" name="Zn%" dataDxfId="42">
      <calculatedColumnFormula>_xlfn.XLOOKUP(A2,tbFertilizantes[Produto],tbFertilizantes[Zn],0)</calculatedColumnFormula>
    </tableColumn>
    <tableColumn id="13" xr3:uid="{33AF03BB-0283-4249-858B-C66710803B38}" name="B%" dataDxfId="41">
      <calculatedColumnFormula>_xlfn.XLOOKUP(A2,tbFertilizantes[Produto],tbFertilizantes[B],0)</calculatedColumnFormula>
    </tableColumn>
    <tableColumn id="14" xr3:uid="{65D972A8-ED42-42E6-BF5D-48A1F25490F9}" name="Cu%" dataDxfId="40">
      <calculatedColumnFormula>_xlfn.XLOOKUP(A2,tbFertilizantes[Produto],tbFertilizantes[Cu],0)</calculatedColumnFormula>
    </tableColumn>
    <tableColumn id="15" xr3:uid="{039C0F97-EF38-4A5C-86D3-A1DCA39C0276}" name="Mo%" dataDxfId="39">
      <calculatedColumnFormula>_xlfn.XLOOKUP(A2,tbFertilizantes[Produto],tbFertilizantes[Mo],0)</calculatedColumnFormula>
    </tableColumn>
    <tableColumn id="16" xr3:uid="{577BC5FA-CDBC-48D9-834D-755B12F25F37}" name="N ppm" dataDxfId="38">
      <calculatedColumnFormula>tbCore[[#This Row],[ g/L]]*tbCore[[#This Row],[N%]]*10</calculatedColumnFormula>
    </tableColumn>
    <tableColumn id="17" xr3:uid="{E1244B60-4B82-4279-A888-261864D52E49}" name="P ppm" dataDxfId="37">
      <calculatedColumnFormula>tbCore[[#This Row],[ g/L]]*tbCore[[#This Row],[P%]]*10</calculatedColumnFormula>
    </tableColumn>
    <tableColumn id="18" xr3:uid="{C8DA11C8-87B1-411A-89D8-C3D52F849DB4}" name="K ppm" dataDxfId="36">
      <calculatedColumnFormula>tbCore[[#This Row],[ g/L]]*tbCore[[#This Row],[K%]]*10</calculatedColumnFormula>
    </tableColumn>
    <tableColumn id="19" xr3:uid="{44B282B0-0A73-4207-9B02-E132BC73FB61}" name="Ca ppm" dataDxfId="35">
      <calculatedColumnFormula>tbCore[[#This Row],[ g/L]]*tbCore[[#This Row],[Ca%]]*10</calculatedColumnFormula>
    </tableColumn>
    <tableColumn id="20" xr3:uid="{C952A124-2798-4536-A777-9F671ABA262F}" name="Mg ppm" dataDxfId="34">
      <calculatedColumnFormula>tbCore[[#This Row],[ g/L]]*tbCore[[#This Row],[Mg%]]*10</calculatedColumnFormula>
    </tableColumn>
    <tableColumn id="21" xr3:uid="{C6CAD4D7-1D78-483B-9A41-4E1E64474A78}" name="S ppm" dataDxfId="33">
      <calculatedColumnFormula>tbCore[[#This Row],[ g/L]]*tbCore[[#This Row],[S%]]*10</calculatedColumnFormula>
    </tableColumn>
    <tableColumn id="22" xr3:uid="{6C1FCF1D-7F4A-439A-8EFD-D97B424E9A71}" name="Fe ppm" dataDxfId="32">
      <calculatedColumnFormula>tbCore[[#This Row],[ g/L]]*tbCore[[#This Row],[Fe%]]*10</calculatedColumnFormula>
    </tableColumn>
    <tableColumn id="23" xr3:uid="{B3DEFC6B-61B4-4702-9EF7-2775802B94C6}" name="Mn ppm" dataDxfId="31">
      <calculatedColumnFormula>tbCore[[#This Row],[ g/L]]*tbCore[[#This Row],[Mn%]]*10</calculatedColumnFormula>
    </tableColumn>
    <tableColumn id="24" xr3:uid="{CFEB854B-DD96-4D8D-BC98-87FE925926E1}" name="Zn ppm" dataDxfId="30">
      <calculatedColumnFormula>tbCore[[#This Row],[ g/L]]*tbCore[[#This Row],[Zn%]]*10</calculatedColumnFormula>
    </tableColumn>
    <tableColumn id="25" xr3:uid="{61AF59C0-E414-4BBB-913C-376B84FBBBBE}" name="B ppm" dataDxfId="29">
      <calculatedColumnFormula>tbCore[[#This Row],[ g/L]]*tbCore[[#This Row],[B%]]*10</calculatedColumnFormula>
    </tableColumn>
    <tableColumn id="26" xr3:uid="{A344ECD4-6578-48B2-AF50-7AC37612C92E}" name="Cu ppm" dataDxfId="28">
      <calculatedColumnFormula>tbCore[[#This Row],[ g/L]]*tbCore[[#This Row],[Cu%]]*10</calculatedColumnFormula>
    </tableColumn>
    <tableColumn id="27" xr3:uid="{464B7893-069D-4A89-A3FB-3FC3DF68B950}" name="Mo ppm" dataDxfId="27">
      <calculatedColumnFormula>tbCore[[#This Row],[ g/L]]*tbCore[[#This Row],[Mo%]]*10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6A8680-E46F-45AF-98A3-60CA5DC72E09}" name="Tabela3" displayName="Tabela3" ref="A10:B22" totalsRowShown="0" headerRowDxfId="26" dataDxfId="25">
  <autoFilter ref="A10:B22" xr:uid="{516A8680-E46F-45AF-98A3-60CA5DC72E09}">
    <filterColumn colId="0" hiddenButton="1"/>
    <filterColumn colId="1" hiddenButton="1"/>
  </autoFilter>
  <tableColumns count="2">
    <tableColumn id="1" xr3:uid="{EBE2381E-6F61-4F4F-B83A-2D122EAF76D6}" name="Nutriente" dataDxfId="24"/>
    <tableColumn id="2" xr3:uid="{ED3005D5-F393-4F6C-AAB1-DF3793BF166A}" name="Total" dataDxfId="23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F7D01-075E-4099-AC2B-2ABCAE7B7FF9}">
  <dimension ref="A1"/>
  <sheetViews>
    <sheetView workbookViewId="0">
      <selection activeCell="E15" sqref="E1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928F-272B-43F4-861A-5D8E0480B12C}">
  <dimension ref="A1:V7"/>
  <sheetViews>
    <sheetView topLeftCell="B1" workbookViewId="0">
      <selection activeCell="V8" sqref="V8"/>
    </sheetView>
  </sheetViews>
  <sheetFormatPr defaultRowHeight="15" x14ac:dyDescent="0.25"/>
  <cols>
    <col min="1" max="1" width="5" bestFit="1" customWidth="1"/>
    <col min="2" max="2" width="19.28515625" bestFit="1" customWidth="1"/>
    <col min="3" max="3" width="12.42578125" customWidth="1"/>
    <col min="4" max="4" width="17.85546875" customWidth="1"/>
    <col min="5" max="5" width="8" customWidth="1"/>
    <col min="6" max="7" width="7.7109375" customWidth="1"/>
    <col min="8" max="8" width="8.7109375" customWidth="1"/>
    <col min="9" max="9" width="9.42578125" customWidth="1"/>
    <col min="10" max="10" width="7.5703125" customWidth="1"/>
    <col min="11" max="11" width="8.7109375" customWidth="1"/>
    <col min="12" max="12" width="9.5703125" customWidth="1"/>
    <col min="13" max="13" width="8.7109375" customWidth="1"/>
    <col min="14" max="14" width="7.7109375" customWidth="1"/>
    <col min="15" max="15" width="8.85546875" customWidth="1"/>
    <col min="16" max="16" width="9.5703125" customWidth="1"/>
    <col min="17" max="17" width="18.85546875" customWidth="1"/>
    <col min="18" max="18" width="15.140625" customWidth="1"/>
    <col min="19" max="19" width="22.85546875" customWidth="1"/>
    <col min="20" max="20" width="14.42578125" customWidth="1"/>
    <col min="21" max="21" width="15.85546875" bestFit="1" customWidth="1"/>
    <col min="22" max="22" width="16.7109375" bestFit="1" customWidth="1"/>
  </cols>
  <sheetData>
    <row r="1" spans="1:22" x14ac:dyDescent="0.25">
      <c r="A1" s="3" t="s">
        <v>14</v>
      </c>
      <c r="B1" s="3" t="s">
        <v>29</v>
      </c>
      <c r="C1" s="3" t="s">
        <v>0</v>
      </c>
      <c r="D1" s="3" t="s">
        <v>86</v>
      </c>
      <c r="E1" s="3" t="s">
        <v>41</v>
      </c>
      <c r="F1" s="3" t="s">
        <v>42</v>
      </c>
      <c r="G1" s="3" t="s">
        <v>43</v>
      </c>
      <c r="H1" s="3" t="s">
        <v>5</v>
      </c>
      <c r="I1" s="3" t="s">
        <v>6</v>
      </c>
      <c r="J1" s="3" t="s">
        <v>44</v>
      </c>
      <c r="K1" s="3" t="s">
        <v>45</v>
      </c>
      <c r="L1" s="3" t="s">
        <v>46</v>
      </c>
      <c r="M1" s="3" t="s">
        <v>47</v>
      </c>
      <c r="N1" s="3" t="s">
        <v>27</v>
      </c>
      <c r="O1" s="3" t="s">
        <v>48</v>
      </c>
      <c r="P1" s="3" t="s">
        <v>49</v>
      </c>
      <c r="Q1" s="3" t="s">
        <v>15</v>
      </c>
      <c r="R1" s="3" t="s">
        <v>16</v>
      </c>
      <c r="S1" s="3" t="s">
        <v>28</v>
      </c>
      <c r="T1" s="3" t="s">
        <v>17</v>
      </c>
      <c r="U1" s="3" t="s">
        <v>89</v>
      </c>
      <c r="V1" s="3" t="s">
        <v>92</v>
      </c>
    </row>
    <row r="2" spans="1:22" x14ac:dyDescent="0.25">
      <c r="A2" s="1" t="s">
        <v>13</v>
      </c>
      <c r="B2" s="1" t="s">
        <v>10</v>
      </c>
      <c r="C2" s="7"/>
      <c r="D2" s="7"/>
      <c r="E2" s="20">
        <v>14</v>
      </c>
      <c r="F2" s="7"/>
      <c r="G2" s="7"/>
      <c r="H2" s="7">
        <v>16</v>
      </c>
      <c r="I2" s="7"/>
      <c r="J2" s="7"/>
      <c r="K2" s="7"/>
      <c r="L2" s="7"/>
      <c r="M2" s="7"/>
      <c r="N2" s="7"/>
      <c r="O2" s="7"/>
      <c r="P2" s="7"/>
      <c r="Q2" s="7"/>
      <c r="R2" s="7"/>
      <c r="S2" s="7" t="s">
        <v>26</v>
      </c>
      <c r="T2" s="7"/>
      <c r="U2" s="5" t="s">
        <v>90</v>
      </c>
      <c r="V2" s="5" t="s">
        <v>5</v>
      </c>
    </row>
    <row r="3" spans="1:22" ht="15" customHeight="1" x14ac:dyDescent="0.25">
      <c r="A3" s="2" t="s">
        <v>18</v>
      </c>
      <c r="B3" s="2" t="s">
        <v>19</v>
      </c>
      <c r="C3" s="7"/>
      <c r="D3" s="7"/>
      <c r="E3" s="7">
        <v>12</v>
      </c>
      <c r="F3" s="7"/>
      <c r="G3" s="7">
        <v>45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 t="s">
        <v>27</v>
      </c>
      <c r="T3" s="7"/>
      <c r="U3" s="5" t="s">
        <v>90</v>
      </c>
      <c r="V3" s="7" t="s">
        <v>43</v>
      </c>
    </row>
    <row r="4" spans="1:22" ht="15" customHeight="1" x14ac:dyDescent="0.25">
      <c r="A4" s="2" t="s">
        <v>20</v>
      </c>
      <c r="B4" s="2" t="s">
        <v>11</v>
      </c>
      <c r="C4" s="7"/>
      <c r="D4" s="7"/>
      <c r="E4" s="7"/>
      <c r="F4" s="7">
        <v>51</v>
      </c>
      <c r="G4" s="7">
        <v>30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 t="s">
        <v>27</v>
      </c>
      <c r="T4" s="7"/>
      <c r="U4" s="5" t="s">
        <v>90</v>
      </c>
      <c r="V4" s="7" t="s">
        <v>42</v>
      </c>
    </row>
    <row r="5" spans="1:22" ht="15" customHeight="1" x14ac:dyDescent="0.25">
      <c r="A5" s="2" t="s">
        <v>21</v>
      </c>
      <c r="B5" s="2" t="s">
        <v>12</v>
      </c>
      <c r="C5" s="7"/>
      <c r="D5" s="7"/>
      <c r="E5" s="7"/>
      <c r="F5" s="7"/>
      <c r="G5" s="7"/>
      <c r="H5" s="7"/>
      <c r="I5" s="7">
        <v>9</v>
      </c>
      <c r="J5" s="7">
        <v>11</v>
      </c>
      <c r="K5" s="7"/>
      <c r="L5" s="7"/>
      <c r="M5" s="7"/>
      <c r="N5" s="7"/>
      <c r="O5" s="7"/>
      <c r="P5" s="7"/>
      <c r="Q5" s="7"/>
      <c r="R5" s="7"/>
      <c r="S5" s="7" t="s">
        <v>27</v>
      </c>
      <c r="T5" s="7"/>
      <c r="U5" s="5" t="s">
        <v>90</v>
      </c>
      <c r="V5" s="7" t="s">
        <v>6</v>
      </c>
    </row>
    <row r="6" spans="1:22" ht="15" customHeight="1" x14ac:dyDescent="0.25">
      <c r="A6" s="2" t="s">
        <v>22</v>
      </c>
      <c r="B6" s="2" t="s">
        <v>23</v>
      </c>
      <c r="C6" s="7"/>
      <c r="D6" s="7"/>
      <c r="E6" s="7"/>
      <c r="F6" s="7"/>
      <c r="G6" s="7">
        <v>50</v>
      </c>
      <c r="H6" s="7"/>
      <c r="I6" s="7"/>
      <c r="J6" s="7">
        <v>17</v>
      </c>
      <c r="K6" s="7"/>
      <c r="L6" s="7"/>
      <c r="M6" s="7"/>
      <c r="N6" s="7"/>
      <c r="O6" s="7"/>
      <c r="P6" s="7"/>
      <c r="Q6" s="7"/>
      <c r="R6" s="7"/>
      <c r="S6" s="7" t="s">
        <v>27</v>
      </c>
      <c r="T6" s="7"/>
      <c r="U6" s="5" t="s">
        <v>90</v>
      </c>
      <c r="V6" s="7" t="s">
        <v>43</v>
      </c>
    </row>
    <row r="7" spans="1:22" ht="15" customHeight="1" x14ac:dyDescent="0.25">
      <c r="A7" s="2" t="s">
        <v>24</v>
      </c>
      <c r="B7" s="2" t="s">
        <v>25</v>
      </c>
      <c r="C7" s="7"/>
      <c r="D7" s="7"/>
      <c r="E7" s="7">
        <v>4</v>
      </c>
      <c r="F7" s="7"/>
      <c r="G7" s="7"/>
      <c r="H7" s="7"/>
      <c r="I7" s="7"/>
      <c r="J7" s="7"/>
      <c r="K7" s="7">
        <v>7</v>
      </c>
      <c r="L7" s="7">
        <v>3.3</v>
      </c>
      <c r="M7" s="7">
        <v>0.6</v>
      </c>
      <c r="N7" s="7">
        <v>0.7</v>
      </c>
      <c r="O7" s="7">
        <v>0.2</v>
      </c>
      <c r="P7" s="7">
        <v>0.1</v>
      </c>
      <c r="Q7" s="7"/>
      <c r="R7" s="7"/>
      <c r="S7" s="7" t="s">
        <v>27</v>
      </c>
      <c r="T7" s="7"/>
      <c r="U7" s="8" t="s">
        <v>91</v>
      </c>
      <c r="V7" s="8" t="s">
        <v>93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AD07D-EDA9-4434-8652-C048934E9366}">
  <dimension ref="A1:F5"/>
  <sheetViews>
    <sheetView workbookViewId="0">
      <selection activeCell="C5" sqref="C5"/>
    </sheetView>
  </sheetViews>
  <sheetFormatPr defaultRowHeight="15" x14ac:dyDescent="0.25"/>
  <cols>
    <col min="1" max="1" width="9.85546875" bestFit="1" customWidth="1"/>
    <col min="2" max="2" width="13.5703125" bestFit="1" customWidth="1"/>
    <col min="3" max="3" width="11.140625" bestFit="1" customWidth="1"/>
    <col min="4" max="4" width="16.140625" bestFit="1" customWidth="1"/>
    <col min="5" max="5" width="6.42578125" bestFit="1" customWidth="1"/>
    <col min="6" max="6" width="12.28515625" bestFit="1" customWidth="1"/>
  </cols>
  <sheetData>
    <row r="1" spans="1:6" x14ac:dyDescent="0.25">
      <c r="A1" t="s">
        <v>32</v>
      </c>
      <c r="B1" t="s">
        <v>33</v>
      </c>
      <c r="C1" t="s">
        <v>34</v>
      </c>
      <c r="D1" t="s">
        <v>30</v>
      </c>
      <c r="E1" t="s">
        <v>35</v>
      </c>
      <c r="F1" t="s">
        <v>17</v>
      </c>
    </row>
    <row r="2" spans="1:6" x14ac:dyDescent="0.25">
      <c r="A2" t="s">
        <v>36</v>
      </c>
      <c r="B2" t="s">
        <v>37</v>
      </c>
      <c r="C2" t="s">
        <v>10</v>
      </c>
    </row>
    <row r="3" spans="1:6" x14ac:dyDescent="0.25">
      <c r="A3" t="s">
        <v>36</v>
      </c>
      <c r="B3" t="s">
        <v>37</v>
      </c>
      <c r="C3" t="s">
        <v>11</v>
      </c>
    </row>
    <row r="4" spans="1:6" x14ac:dyDescent="0.25">
      <c r="A4" t="s">
        <v>36</v>
      </c>
      <c r="B4" t="s">
        <v>37</v>
      </c>
      <c r="C4" t="s">
        <v>38</v>
      </c>
    </row>
    <row r="5" spans="1:6" x14ac:dyDescent="0.25">
      <c r="A5" t="s">
        <v>36</v>
      </c>
      <c r="B5" t="s">
        <v>37</v>
      </c>
      <c r="C5" t="s">
        <v>31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51840-C63C-42B6-8105-007C88EE42FE}">
  <dimension ref="A1:AA22"/>
  <sheetViews>
    <sheetView workbookViewId="0">
      <selection activeCell="B2" sqref="B2"/>
    </sheetView>
  </sheetViews>
  <sheetFormatPr defaultRowHeight="15" x14ac:dyDescent="0.25"/>
  <cols>
    <col min="1" max="1" width="19.28515625" bestFit="1" customWidth="1"/>
    <col min="2" max="2" width="16.140625" bestFit="1" customWidth="1"/>
    <col min="3" max="3" width="10.5703125" bestFit="1" customWidth="1"/>
    <col min="16" max="16" width="8.7109375" bestFit="1" customWidth="1"/>
    <col min="19" max="19" width="9.7109375" customWidth="1"/>
    <col min="20" max="20" width="10.42578125" customWidth="1"/>
    <col min="22" max="22" width="9.7109375" customWidth="1"/>
    <col min="23" max="23" width="10.5703125" customWidth="1"/>
    <col min="24" max="24" width="9.7109375" customWidth="1"/>
    <col min="26" max="26" width="9.85546875" customWidth="1"/>
    <col min="27" max="27" width="10.5703125" customWidth="1"/>
  </cols>
  <sheetData>
    <row r="1" spans="1:27" x14ac:dyDescent="0.25">
      <c r="A1" s="4" t="s">
        <v>39</v>
      </c>
      <c r="B1" s="5" t="s">
        <v>40</v>
      </c>
      <c r="C1" s="5" t="s">
        <v>14</v>
      </c>
      <c r="D1" s="5" t="s">
        <v>74</v>
      </c>
      <c r="E1" s="5" t="s">
        <v>75</v>
      </c>
      <c r="F1" s="5" t="s">
        <v>76</v>
      </c>
      <c r="G1" s="5" t="s">
        <v>77</v>
      </c>
      <c r="H1" s="5" t="s">
        <v>78</v>
      </c>
      <c r="I1" s="5" t="s">
        <v>79</v>
      </c>
      <c r="J1" s="5" t="s">
        <v>80</v>
      </c>
      <c r="K1" s="5" t="s">
        <v>81</v>
      </c>
      <c r="L1" s="5" t="s">
        <v>82</v>
      </c>
      <c r="M1" s="5" t="s">
        <v>83</v>
      </c>
      <c r="N1" s="5" t="s">
        <v>84</v>
      </c>
      <c r="O1" s="5" t="s">
        <v>85</v>
      </c>
      <c r="P1" s="5" t="s">
        <v>50</v>
      </c>
      <c r="Q1" s="5" t="s">
        <v>51</v>
      </c>
      <c r="R1" s="5" t="s">
        <v>52</v>
      </c>
      <c r="S1" s="5" t="s">
        <v>53</v>
      </c>
      <c r="T1" s="5" t="s">
        <v>54</v>
      </c>
      <c r="U1" s="5" t="s">
        <v>55</v>
      </c>
      <c r="V1" s="5" t="s">
        <v>56</v>
      </c>
      <c r="W1" s="5" t="s">
        <v>57</v>
      </c>
      <c r="X1" s="5" t="s">
        <v>58</v>
      </c>
      <c r="Y1" s="5" t="s">
        <v>59</v>
      </c>
      <c r="Z1" s="5" t="s">
        <v>60</v>
      </c>
      <c r="AA1" s="6" t="s">
        <v>61</v>
      </c>
    </row>
    <row r="2" spans="1:27" x14ac:dyDescent="0.25">
      <c r="A2" s="9" t="s">
        <v>10</v>
      </c>
      <c r="B2" s="12"/>
      <c r="C2" s="7"/>
      <c r="D2" s="14">
        <f>_xlfn.XLOOKUP(A2,tbFertilizantes[Produto],tbFertilizantes[N],0)</f>
        <v>14</v>
      </c>
      <c r="E2" s="14">
        <f>_xlfn.XLOOKUP(A2,tbFertilizantes[Produto],tbFertilizantes[P],0)</f>
        <v>0</v>
      </c>
      <c r="F2" s="14">
        <f>_xlfn.XLOOKUP(A2,tbFertilizantes[Produto],tbFertilizantes[K],0)</f>
        <v>0</v>
      </c>
      <c r="G2" s="14">
        <f>_xlfn.XLOOKUP(A2,tbFertilizantes[Produto],tbFertilizantes[Ca],0)</f>
        <v>16</v>
      </c>
      <c r="H2" s="14">
        <f>_xlfn.XLOOKUP(A2,tbFertilizantes[Produto],tbFertilizantes[Mg],0)</f>
        <v>0</v>
      </c>
      <c r="I2" s="14">
        <f>_xlfn.XLOOKUP(A2,tbFertilizantes[Produto],tbFertilizantes[S],0)</f>
        <v>0</v>
      </c>
      <c r="J2" s="14">
        <f>_xlfn.XLOOKUP(A2,tbFertilizantes[Produto],tbFertilizantes[Fe],0)</f>
        <v>0</v>
      </c>
      <c r="K2" s="14">
        <f>_xlfn.XLOOKUP(A2,tbFertilizantes[Produto],tbFertilizantes[Zn],0)</f>
        <v>0</v>
      </c>
      <c r="L2" s="14">
        <f>_xlfn.XLOOKUP(A2,tbFertilizantes[Produto],tbFertilizantes[Zn],0)</f>
        <v>0</v>
      </c>
      <c r="M2" s="14">
        <f>_xlfn.XLOOKUP(A2,tbFertilizantes[Produto],tbFertilizantes[B],0)</f>
        <v>0</v>
      </c>
      <c r="N2" s="14">
        <f>_xlfn.XLOOKUP(A2,tbFertilizantes[Produto],tbFertilizantes[Cu],0)</f>
        <v>0</v>
      </c>
      <c r="O2" s="14">
        <f>_xlfn.XLOOKUP(A2,tbFertilizantes[Produto],tbFertilizantes[Mo],0)</f>
        <v>0</v>
      </c>
      <c r="P2" s="14">
        <f>tbCore[[#This Row],[ g/L]]*tbCore[[#This Row],[N%]]*10</f>
        <v>0</v>
      </c>
      <c r="Q2" s="14">
        <f>tbCore[[#This Row],[ g/L]]*tbCore[[#This Row],[P%]]*10</f>
        <v>0</v>
      </c>
      <c r="R2" s="14">
        <f>tbCore[[#This Row],[ g/L]]*tbCore[[#This Row],[K%]]*10</f>
        <v>0</v>
      </c>
      <c r="S2" s="14">
        <f>tbCore[[#This Row],[ g/L]]*tbCore[[#This Row],[Ca%]]*10</f>
        <v>0</v>
      </c>
      <c r="T2" s="14">
        <f>tbCore[[#This Row],[ g/L]]*tbCore[[#This Row],[Mg%]]*10</f>
        <v>0</v>
      </c>
      <c r="U2" s="14">
        <f>tbCore[[#This Row],[ g/L]]*tbCore[[#This Row],[S%]]*10</f>
        <v>0</v>
      </c>
      <c r="V2" s="14">
        <f>tbCore[[#This Row],[ g/L]]*tbCore[[#This Row],[Fe%]]*10</f>
        <v>0</v>
      </c>
      <c r="W2" s="14">
        <f>tbCore[[#This Row],[ g/L]]*tbCore[[#This Row],[Mn%]]*10</f>
        <v>0</v>
      </c>
      <c r="X2" s="14">
        <f>tbCore[[#This Row],[ g/L]]*tbCore[[#This Row],[Zn%]]*10</f>
        <v>0</v>
      </c>
      <c r="Y2" s="14">
        <f>tbCore[[#This Row],[ g/L]]*tbCore[[#This Row],[B%]]*10</f>
        <v>0</v>
      </c>
      <c r="Z2" s="14">
        <f>tbCore[[#This Row],[ g/L]]*tbCore[[#This Row],[Cu%]]*10</f>
        <v>0</v>
      </c>
      <c r="AA2" s="15">
        <f>tbCore[[#This Row],[ g/L]]*tbCore[[#This Row],[Mo%]]*10</f>
        <v>0</v>
      </c>
    </row>
    <row r="3" spans="1:27" x14ac:dyDescent="0.25">
      <c r="A3" s="9" t="s">
        <v>19</v>
      </c>
      <c r="B3" s="12"/>
      <c r="C3" s="7"/>
      <c r="D3" s="14">
        <f>_xlfn.XLOOKUP(A3,tbFertilizantes[Produto],tbFertilizantes[N],0)</f>
        <v>12</v>
      </c>
      <c r="E3" s="14">
        <f>_xlfn.XLOOKUP(A3,tbFertilizantes[Produto],tbFertilizantes[P],0)</f>
        <v>0</v>
      </c>
      <c r="F3" s="14">
        <f>_xlfn.XLOOKUP(A3,tbFertilizantes[Produto],tbFertilizantes[K],0)</f>
        <v>45</v>
      </c>
      <c r="G3" s="14">
        <f>_xlfn.XLOOKUP(A3,tbFertilizantes[Produto],tbFertilizantes[Ca],0)</f>
        <v>0</v>
      </c>
      <c r="H3" s="14">
        <f>_xlfn.XLOOKUP(A3,tbFertilizantes[Produto],tbFertilizantes[Mg],0)</f>
        <v>0</v>
      </c>
      <c r="I3" s="14">
        <f>_xlfn.XLOOKUP(A3,tbFertilizantes[Produto],tbFertilizantes[S],0)</f>
        <v>0</v>
      </c>
      <c r="J3" s="14">
        <f>_xlfn.XLOOKUP(A3,tbFertilizantes[Produto],tbFertilizantes[Fe],0)</f>
        <v>0</v>
      </c>
      <c r="K3" s="14">
        <f>_xlfn.XLOOKUP(A3,tbFertilizantes[Produto],tbFertilizantes[Zn],0)</f>
        <v>0</v>
      </c>
      <c r="L3" s="14">
        <f>_xlfn.XLOOKUP(A3,tbFertilizantes[Produto],tbFertilizantes[Zn],0)</f>
        <v>0</v>
      </c>
      <c r="M3" s="14">
        <f>_xlfn.XLOOKUP(A3,tbFertilizantes[Produto],tbFertilizantes[B],0)</f>
        <v>0</v>
      </c>
      <c r="N3" s="14">
        <f>_xlfn.XLOOKUP(A3,tbFertilizantes[Produto],tbFertilizantes[Cu],0)</f>
        <v>0</v>
      </c>
      <c r="O3" s="14">
        <f>_xlfn.XLOOKUP(A3,tbFertilizantes[Produto],tbFertilizantes[Mo],0)</f>
        <v>0</v>
      </c>
      <c r="P3" s="14">
        <f>tbCore[[#This Row],[ g/L]]*tbCore[[#This Row],[N%]]*10</f>
        <v>0</v>
      </c>
      <c r="Q3" s="14">
        <f>tbCore[[#This Row],[ g/L]]*tbCore[[#This Row],[P%]]*10</f>
        <v>0</v>
      </c>
      <c r="R3" s="14">
        <f>tbCore[[#This Row],[ g/L]]*tbCore[[#This Row],[K%]]*10</f>
        <v>0</v>
      </c>
      <c r="S3" s="14">
        <f>tbCore[[#This Row],[ g/L]]*tbCore[[#This Row],[Ca%]]*10</f>
        <v>0</v>
      </c>
      <c r="T3" s="14">
        <f>tbCore[[#This Row],[ g/L]]*tbCore[[#This Row],[Mg%]]*10</f>
        <v>0</v>
      </c>
      <c r="U3" s="14">
        <f>tbCore[[#This Row],[ g/L]]*tbCore[[#This Row],[S%]]*10</f>
        <v>0</v>
      </c>
      <c r="V3" s="14">
        <f>tbCore[[#This Row],[ g/L]]*tbCore[[#This Row],[Fe%]]*10</f>
        <v>0</v>
      </c>
      <c r="W3" s="14">
        <f>tbCore[[#This Row],[ g/L]]*tbCore[[#This Row],[Mn%]]*10</f>
        <v>0</v>
      </c>
      <c r="X3" s="14">
        <f>tbCore[[#This Row],[ g/L]]*tbCore[[#This Row],[Zn%]]*10</f>
        <v>0</v>
      </c>
      <c r="Y3" s="14">
        <f>tbCore[[#This Row],[ g/L]]*tbCore[[#This Row],[B%]]*10</f>
        <v>0</v>
      </c>
      <c r="Z3" s="14">
        <f>tbCore[[#This Row],[ g/L]]*tbCore[[#This Row],[Cu%]]*10</f>
        <v>0</v>
      </c>
      <c r="AA3" s="15">
        <f>tbCore[[#This Row],[ g/L]]*tbCore[[#This Row],[Mo%]]*10</f>
        <v>0</v>
      </c>
    </row>
    <row r="4" spans="1:27" x14ac:dyDescent="0.25">
      <c r="A4" s="9" t="s">
        <v>11</v>
      </c>
      <c r="B4" s="12"/>
      <c r="C4" s="7"/>
      <c r="D4" s="14">
        <f>_xlfn.XLOOKUP(A4,tbFertilizantes[Produto],tbFertilizantes[N],0)</f>
        <v>0</v>
      </c>
      <c r="E4" s="14">
        <f>_xlfn.XLOOKUP(A4,tbFertilizantes[Produto],tbFertilizantes[P],0)</f>
        <v>51</v>
      </c>
      <c r="F4" s="14">
        <f>_xlfn.XLOOKUP(A4,tbFertilizantes[Produto],tbFertilizantes[K],0)</f>
        <v>30</v>
      </c>
      <c r="G4" s="14">
        <f>_xlfn.XLOOKUP(A4,tbFertilizantes[Produto],tbFertilizantes[Ca],0)</f>
        <v>0</v>
      </c>
      <c r="H4" s="14">
        <f>_xlfn.XLOOKUP(A4,tbFertilizantes[Produto],tbFertilizantes[Mg],0)</f>
        <v>0</v>
      </c>
      <c r="I4" s="14">
        <f>_xlfn.XLOOKUP(A4,tbFertilizantes[Produto],tbFertilizantes[S],0)</f>
        <v>0</v>
      </c>
      <c r="J4" s="14">
        <f>_xlfn.XLOOKUP(A4,tbFertilizantes[Produto],tbFertilizantes[Fe],0)</f>
        <v>0</v>
      </c>
      <c r="K4" s="14">
        <f>_xlfn.XLOOKUP(A4,tbFertilizantes[Produto],tbFertilizantes[Zn],0)</f>
        <v>0</v>
      </c>
      <c r="L4" s="14">
        <f>_xlfn.XLOOKUP(A4,tbFertilizantes[Produto],tbFertilizantes[Zn],0)</f>
        <v>0</v>
      </c>
      <c r="M4" s="14">
        <f>_xlfn.XLOOKUP(A4,tbFertilizantes[Produto],tbFertilizantes[B],0)</f>
        <v>0</v>
      </c>
      <c r="N4" s="14">
        <f>_xlfn.XLOOKUP(A4,tbFertilizantes[Produto],tbFertilizantes[Cu],0)</f>
        <v>0</v>
      </c>
      <c r="O4" s="14">
        <f>_xlfn.XLOOKUP(A4,tbFertilizantes[Produto],tbFertilizantes[Mo],0)</f>
        <v>0</v>
      </c>
      <c r="P4" s="14">
        <f>tbCore[[#This Row],[ g/L]]*tbCore[[#This Row],[N%]]*10</f>
        <v>0</v>
      </c>
      <c r="Q4" s="14">
        <f>tbCore[[#This Row],[ g/L]]*tbCore[[#This Row],[P%]]*10</f>
        <v>0</v>
      </c>
      <c r="R4" s="14">
        <f>tbCore[[#This Row],[ g/L]]*tbCore[[#This Row],[K%]]*10</f>
        <v>0</v>
      </c>
      <c r="S4" s="14">
        <f>tbCore[[#This Row],[ g/L]]*tbCore[[#This Row],[Ca%]]*10</f>
        <v>0</v>
      </c>
      <c r="T4" s="14">
        <f>tbCore[[#This Row],[ g/L]]*tbCore[[#This Row],[Mg%]]*10</f>
        <v>0</v>
      </c>
      <c r="U4" s="14">
        <f>tbCore[[#This Row],[ g/L]]*tbCore[[#This Row],[S%]]*10</f>
        <v>0</v>
      </c>
      <c r="V4" s="14">
        <f>tbCore[[#This Row],[ g/L]]*tbCore[[#This Row],[Fe%]]*10</f>
        <v>0</v>
      </c>
      <c r="W4" s="14">
        <f>tbCore[[#This Row],[ g/L]]*tbCore[[#This Row],[Mn%]]*10</f>
        <v>0</v>
      </c>
      <c r="X4" s="14">
        <f>tbCore[[#This Row],[ g/L]]*tbCore[[#This Row],[Zn%]]*10</f>
        <v>0</v>
      </c>
      <c r="Y4" s="14">
        <f>tbCore[[#This Row],[ g/L]]*tbCore[[#This Row],[B%]]*10</f>
        <v>0</v>
      </c>
      <c r="Z4" s="14">
        <f>tbCore[[#This Row],[ g/L]]*tbCore[[#This Row],[Cu%]]*10</f>
        <v>0</v>
      </c>
      <c r="AA4" s="15">
        <f>tbCore[[#This Row],[ g/L]]*tbCore[[#This Row],[Mo%]]*10</f>
        <v>0</v>
      </c>
    </row>
    <row r="5" spans="1:27" x14ac:dyDescent="0.25">
      <c r="A5" s="9" t="s">
        <v>12</v>
      </c>
      <c r="B5" s="12"/>
      <c r="C5" s="7"/>
      <c r="D5" s="14">
        <f>_xlfn.XLOOKUP(A5,tbFertilizantes[Produto],tbFertilizantes[N],0)</f>
        <v>0</v>
      </c>
      <c r="E5" s="14">
        <f>_xlfn.XLOOKUP(A5,tbFertilizantes[Produto],tbFertilizantes[P],0)</f>
        <v>0</v>
      </c>
      <c r="F5" s="14">
        <f>_xlfn.XLOOKUP(A5,tbFertilizantes[Produto],tbFertilizantes[K],0)</f>
        <v>0</v>
      </c>
      <c r="G5" s="14">
        <f>_xlfn.XLOOKUP(A5,tbFertilizantes[Produto],tbFertilizantes[Ca],0)</f>
        <v>0</v>
      </c>
      <c r="H5" s="14">
        <f>_xlfn.XLOOKUP(A5,tbFertilizantes[Produto],tbFertilizantes[Mg],0)</f>
        <v>9</v>
      </c>
      <c r="I5" s="14">
        <f>_xlfn.XLOOKUP(A5,tbFertilizantes[Produto],tbFertilizantes[S],0)</f>
        <v>11</v>
      </c>
      <c r="J5" s="14">
        <f>_xlfn.XLOOKUP(A5,tbFertilizantes[Produto],tbFertilizantes[Fe],0)</f>
        <v>0</v>
      </c>
      <c r="K5" s="14">
        <f>_xlfn.XLOOKUP(A5,tbFertilizantes[Produto],tbFertilizantes[Zn],0)</f>
        <v>0</v>
      </c>
      <c r="L5" s="14">
        <f>_xlfn.XLOOKUP(A5,tbFertilizantes[Produto],tbFertilizantes[Zn],0)</f>
        <v>0</v>
      </c>
      <c r="M5" s="14">
        <f>_xlfn.XLOOKUP(A5,tbFertilizantes[Produto],tbFertilizantes[B],0)</f>
        <v>0</v>
      </c>
      <c r="N5" s="14">
        <f>_xlfn.XLOOKUP(A5,tbFertilizantes[Produto],tbFertilizantes[Cu],0)</f>
        <v>0</v>
      </c>
      <c r="O5" s="14">
        <f>_xlfn.XLOOKUP(A5,tbFertilizantes[Produto],tbFertilizantes[Mo],0)</f>
        <v>0</v>
      </c>
      <c r="P5" s="14">
        <f>tbCore[[#This Row],[ g/L]]*tbCore[[#This Row],[N%]]*10</f>
        <v>0</v>
      </c>
      <c r="Q5" s="14">
        <f>tbCore[[#This Row],[ g/L]]*tbCore[[#This Row],[P%]]*10</f>
        <v>0</v>
      </c>
      <c r="R5" s="14">
        <f>tbCore[[#This Row],[ g/L]]*tbCore[[#This Row],[K%]]*10</f>
        <v>0</v>
      </c>
      <c r="S5" s="14">
        <f>tbCore[[#This Row],[ g/L]]*tbCore[[#This Row],[Ca%]]*10</f>
        <v>0</v>
      </c>
      <c r="T5" s="14">
        <f>tbCore[[#This Row],[ g/L]]*tbCore[[#This Row],[Mg%]]*10</f>
        <v>0</v>
      </c>
      <c r="U5" s="14">
        <f>tbCore[[#This Row],[ g/L]]*tbCore[[#This Row],[S%]]*10</f>
        <v>0</v>
      </c>
      <c r="V5" s="14">
        <f>tbCore[[#This Row],[ g/L]]*tbCore[[#This Row],[Fe%]]*10</f>
        <v>0</v>
      </c>
      <c r="W5" s="14">
        <f>tbCore[[#This Row],[ g/L]]*tbCore[[#This Row],[Mn%]]*10</f>
        <v>0</v>
      </c>
      <c r="X5" s="14">
        <f>tbCore[[#This Row],[ g/L]]*tbCore[[#This Row],[Zn%]]*10</f>
        <v>0</v>
      </c>
      <c r="Y5" s="14">
        <f>tbCore[[#This Row],[ g/L]]*tbCore[[#This Row],[B%]]*10</f>
        <v>0</v>
      </c>
      <c r="Z5" s="14">
        <f>tbCore[[#This Row],[ g/L]]*tbCore[[#This Row],[Cu%]]*10</f>
        <v>0</v>
      </c>
      <c r="AA5" s="15">
        <f>tbCore[[#This Row],[ g/L]]*tbCore[[#This Row],[Mo%]]*10</f>
        <v>0</v>
      </c>
    </row>
    <row r="6" spans="1:27" x14ac:dyDescent="0.25">
      <c r="A6" s="9" t="s">
        <v>23</v>
      </c>
      <c r="B6" s="12"/>
      <c r="C6" s="7"/>
      <c r="D6" s="14">
        <f>_xlfn.XLOOKUP(A6,tbFertilizantes[Produto],tbFertilizantes[N],0)</f>
        <v>0</v>
      </c>
      <c r="E6" s="14">
        <f>_xlfn.XLOOKUP(A6,tbFertilizantes[Produto],tbFertilizantes[P],0)</f>
        <v>0</v>
      </c>
      <c r="F6" s="14">
        <f>_xlfn.XLOOKUP(A6,tbFertilizantes[Produto],tbFertilizantes[K],0)</f>
        <v>50</v>
      </c>
      <c r="G6" s="14">
        <f>_xlfn.XLOOKUP(A6,tbFertilizantes[Produto],tbFertilizantes[Ca],0)</f>
        <v>0</v>
      </c>
      <c r="H6" s="14">
        <f>_xlfn.XLOOKUP(A6,tbFertilizantes[Produto],tbFertilizantes[Mg],0)</f>
        <v>0</v>
      </c>
      <c r="I6" s="14">
        <f>_xlfn.XLOOKUP(A6,tbFertilizantes[Produto],tbFertilizantes[S],0)</f>
        <v>17</v>
      </c>
      <c r="J6" s="14">
        <f>_xlfn.XLOOKUP(A6,tbFertilizantes[Produto],tbFertilizantes[Fe],0)</f>
        <v>0</v>
      </c>
      <c r="K6" s="14">
        <f>_xlfn.XLOOKUP(A6,tbFertilizantes[Produto],tbFertilizantes[Zn],0)</f>
        <v>0</v>
      </c>
      <c r="L6" s="14">
        <f>_xlfn.XLOOKUP(A6,tbFertilizantes[Produto],tbFertilizantes[Zn],0)</f>
        <v>0</v>
      </c>
      <c r="M6" s="14">
        <f>_xlfn.XLOOKUP(A6,tbFertilizantes[Produto],tbFertilizantes[B],0)</f>
        <v>0</v>
      </c>
      <c r="N6" s="14">
        <f>_xlfn.XLOOKUP(A6,tbFertilizantes[Produto],tbFertilizantes[Cu],0)</f>
        <v>0</v>
      </c>
      <c r="O6" s="14">
        <f>_xlfn.XLOOKUP(A6,tbFertilizantes[Produto],tbFertilizantes[Mo],0)</f>
        <v>0</v>
      </c>
      <c r="P6" s="14">
        <f>tbCore[[#This Row],[ g/L]]*tbCore[[#This Row],[N%]]*10</f>
        <v>0</v>
      </c>
      <c r="Q6" s="14">
        <f>tbCore[[#This Row],[ g/L]]*tbCore[[#This Row],[P%]]*10</f>
        <v>0</v>
      </c>
      <c r="R6" s="14">
        <f>tbCore[[#This Row],[ g/L]]*tbCore[[#This Row],[K%]]*10</f>
        <v>0</v>
      </c>
      <c r="S6" s="14">
        <f>tbCore[[#This Row],[ g/L]]*tbCore[[#This Row],[Ca%]]*10</f>
        <v>0</v>
      </c>
      <c r="T6" s="14">
        <f>tbCore[[#This Row],[ g/L]]*tbCore[[#This Row],[Mg%]]*10</f>
        <v>0</v>
      </c>
      <c r="U6" s="14">
        <f>tbCore[[#This Row],[ g/L]]*tbCore[[#This Row],[S%]]*10</f>
        <v>0</v>
      </c>
      <c r="V6" s="14">
        <f>tbCore[[#This Row],[ g/L]]*tbCore[[#This Row],[Fe%]]*10</f>
        <v>0</v>
      </c>
      <c r="W6" s="14">
        <f>tbCore[[#This Row],[ g/L]]*tbCore[[#This Row],[Mn%]]*10</f>
        <v>0</v>
      </c>
      <c r="X6" s="14">
        <f>tbCore[[#This Row],[ g/L]]*tbCore[[#This Row],[Zn%]]*10</f>
        <v>0</v>
      </c>
      <c r="Y6" s="14">
        <f>tbCore[[#This Row],[ g/L]]*tbCore[[#This Row],[B%]]*10</f>
        <v>0</v>
      </c>
      <c r="Z6" s="14">
        <f>tbCore[[#This Row],[ g/L]]*tbCore[[#This Row],[Cu%]]*10</f>
        <v>0</v>
      </c>
      <c r="AA6" s="15">
        <f>tbCore[[#This Row],[ g/L]]*tbCore[[#This Row],[Mo%]]*10</f>
        <v>0</v>
      </c>
    </row>
    <row r="7" spans="1:27" x14ac:dyDescent="0.25">
      <c r="A7" s="10" t="s">
        <v>25</v>
      </c>
      <c r="B7" s="13"/>
      <c r="C7" s="8"/>
      <c r="D7" s="16">
        <f>_xlfn.XLOOKUP(A7,tbFertilizantes[Produto],tbFertilizantes[N],0)</f>
        <v>4</v>
      </c>
      <c r="E7" s="16">
        <f>_xlfn.XLOOKUP(A7,tbFertilizantes[Produto],tbFertilizantes[P],0)</f>
        <v>0</v>
      </c>
      <c r="F7" s="16">
        <f>_xlfn.XLOOKUP(A7,tbFertilizantes[Produto],tbFertilizantes[K],0)</f>
        <v>0</v>
      </c>
      <c r="G7" s="16">
        <f>_xlfn.XLOOKUP(A7,tbFertilizantes[Produto],tbFertilizantes[Ca],0)</f>
        <v>0</v>
      </c>
      <c r="H7" s="16">
        <f>_xlfn.XLOOKUP(A7,tbFertilizantes[Produto],tbFertilizantes[Mg],0)</f>
        <v>0</v>
      </c>
      <c r="I7" s="16">
        <f>_xlfn.XLOOKUP(A7,tbFertilizantes[Produto],tbFertilizantes[S],0)</f>
        <v>0</v>
      </c>
      <c r="J7" s="16">
        <f>_xlfn.XLOOKUP(A7,tbFertilizantes[Produto],tbFertilizantes[Fe],0)</f>
        <v>7</v>
      </c>
      <c r="K7" s="16">
        <f>_xlfn.XLOOKUP(A7,tbFertilizantes[Produto],tbFertilizantes[Zn],0)</f>
        <v>0.6</v>
      </c>
      <c r="L7" s="16">
        <f>_xlfn.XLOOKUP(A7,tbFertilizantes[Produto],tbFertilizantes[Zn],0)</f>
        <v>0.6</v>
      </c>
      <c r="M7" s="16">
        <f>_xlfn.XLOOKUP(A7,tbFertilizantes[Produto],tbFertilizantes[B],0)</f>
        <v>0.7</v>
      </c>
      <c r="N7" s="16">
        <f>_xlfn.XLOOKUP(A7,tbFertilizantes[Produto],tbFertilizantes[Cu],0)</f>
        <v>0.2</v>
      </c>
      <c r="O7" s="16">
        <f>_xlfn.XLOOKUP(A7,tbFertilizantes[Produto],tbFertilizantes[Mo],0)</f>
        <v>0.1</v>
      </c>
      <c r="P7" s="16">
        <f>tbCore[[#This Row],[ g/L]]*tbCore[[#This Row],[N%]]*10</f>
        <v>0</v>
      </c>
      <c r="Q7" s="16">
        <f>tbCore[[#This Row],[ g/L]]*tbCore[[#This Row],[P%]]*10</f>
        <v>0</v>
      </c>
      <c r="R7" s="16">
        <f>tbCore[[#This Row],[ g/L]]*tbCore[[#This Row],[K%]]*10</f>
        <v>0</v>
      </c>
      <c r="S7" s="16">
        <f>tbCore[[#This Row],[ g/L]]*tbCore[[#This Row],[Ca%]]*10</f>
        <v>0</v>
      </c>
      <c r="T7" s="16">
        <f>tbCore[[#This Row],[ g/L]]*tbCore[[#This Row],[Mg%]]*10</f>
        <v>0</v>
      </c>
      <c r="U7" s="16">
        <f>tbCore[[#This Row],[ g/L]]*tbCore[[#This Row],[S%]]*10</f>
        <v>0</v>
      </c>
      <c r="V7" s="16">
        <f>tbCore[[#This Row],[ g/L]]*tbCore[[#This Row],[Fe%]]*10</f>
        <v>0</v>
      </c>
      <c r="W7" s="16">
        <f>tbCore[[#This Row],[ g/L]]*tbCore[[#This Row],[Mn%]]*10</f>
        <v>0</v>
      </c>
      <c r="X7" s="16">
        <f>tbCore[[#This Row],[ g/L]]*tbCore[[#This Row],[Zn%]]*10</f>
        <v>0</v>
      </c>
      <c r="Y7" s="16">
        <f>tbCore[[#This Row],[ g/L]]*tbCore[[#This Row],[B%]]*10</f>
        <v>0</v>
      </c>
      <c r="Z7" s="16">
        <f>tbCore[[#This Row],[ g/L]]*tbCore[[#This Row],[Cu%]]*10</f>
        <v>0</v>
      </c>
      <c r="AA7" s="17">
        <f>tbCore[[#This Row],[ g/L]]*tbCore[[#This Row],[Mo%]]*10</f>
        <v>0</v>
      </c>
    </row>
    <row r="10" spans="1:27" x14ac:dyDescent="0.25">
      <c r="A10" s="11" t="s">
        <v>87</v>
      </c>
      <c r="B10" s="11" t="s">
        <v>88</v>
      </c>
    </row>
    <row r="11" spans="1:27" x14ac:dyDescent="0.25">
      <c r="A11" s="18" t="s">
        <v>62</v>
      </c>
      <c r="B11" s="19">
        <f>SUM(tbCore[N ppm])</f>
        <v>0</v>
      </c>
    </row>
    <row r="12" spans="1:27" x14ac:dyDescent="0.25">
      <c r="A12" s="18" t="s">
        <v>63</v>
      </c>
      <c r="B12" s="19">
        <f>SUM(tbCore[P ppm])</f>
        <v>0</v>
      </c>
    </row>
    <row r="13" spans="1:27" x14ac:dyDescent="0.25">
      <c r="A13" s="18" t="s">
        <v>64</v>
      </c>
      <c r="B13" s="19">
        <f>SUM(tbCore[K ppm])</f>
        <v>0</v>
      </c>
    </row>
    <row r="14" spans="1:27" x14ac:dyDescent="0.25">
      <c r="A14" s="18" t="s">
        <v>65</v>
      </c>
      <c r="B14" s="19">
        <f>SUM(tbCore[Ca ppm])</f>
        <v>0</v>
      </c>
    </row>
    <row r="15" spans="1:27" x14ac:dyDescent="0.25">
      <c r="A15" s="18" t="s">
        <v>66</v>
      </c>
      <c r="B15" s="19">
        <f>SUM(tbCore[Mg ppm])</f>
        <v>0</v>
      </c>
    </row>
    <row r="16" spans="1:27" x14ac:dyDescent="0.25">
      <c r="A16" s="18" t="s">
        <v>67</v>
      </c>
      <c r="B16" s="19">
        <f>SUM(tbCore[S ppm])</f>
        <v>0</v>
      </c>
    </row>
    <row r="17" spans="1:2" x14ac:dyDescent="0.25">
      <c r="A17" s="18" t="s">
        <v>68</v>
      </c>
      <c r="B17" s="19">
        <f>SUM(tbCore[Fe ppm])</f>
        <v>0</v>
      </c>
    </row>
    <row r="18" spans="1:2" x14ac:dyDescent="0.25">
      <c r="A18" s="18" t="s">
        <v>69</v>
      </c>
      <c r="B18" s="19">
        <f>SUM(tbCore[Mn ppm])</f>
        <v>0</v>
      </c>
    </row>
    <row r="19" spans="1:2" x14ac:dyDescent="0.25">
      <c r="A19" s="18" t="s">
        <v>70</v>
      </c>
      <c r="B19" s="19">
        <f>SUM(tbCore[Zn ppm])</f>
        <v>0</v>
      </c>
    </row>
    <row r="20" spans="1:2" x14ac:dyDescent="0.25">
      <c r="A20" s="18" t="s">
        <v>71</v>
      </c>
      <c r="B20" s="19">
        <f>SUM(tbCore[B ppm])</f>
        <v>0</v>
      </c>
    </row>
    <row r="21" spans="1:2" x14ac:dyDescent="0.25">
      <c r="A21" s="18" t="s">
        <v>72</v>
      </c>
      <c r="B21" s="19">
        <f>SUM(tbCore[Cu ppm])</f>
        <v>0</v>
      </c>
    </row>
    <row r="22" spans="1:2" x14ac:dyDescent="0.25">
      <c r="A22" s="18" t="s">
        <v>73</v>
      </c>
      <c r="B22" s="19">
        <f>SUM(tbCore[Mo ppm])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3A5C77-7B09-4B7F-86F4-56AC8A4C38A6}">
          <x14:formula1>
            <xm:f>Fertilizante!$B$2:$B$7</xm:f>
          </x14:formula1>
          <xm:sqref>A2:A7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18DE9-EE45-4D44-885E-A900808ADB4D}">
  <dimension ref="A1:C13"/>
  <sheetViews>
    <sheetView tabSelected="1" workbookViewId="0">
      <selection activeCell="E7" sqref="E7:E8"/>
    </sheetView>
  </sheetViews>
  <sheetFormatPr defaultRowHeight="15" x14ac:dyDescent="0.25"/>
  <cols>
    <col min="1" max="1" width="9.7109375" bestFit="1" customWidth="1"/>
    <col min="2" max="2" width="5" bestFit="1" customWidth="1"/>
    <col min="3" max="3" width="6.42578125" bestFit="1" customWidth="1"/>
  </cols>
  <sheetData>
    <row r="1" spans="1:3" x14ac:dyDescent="0.25">
      <c r="A1" s="23" t="s">
        <v>87</v>
      </c>
      <c r="B1" s="22" t="s">
        <v>94</v>
      </c>
      <c r="C1" s="21" t="s">
        <v>95</v>
      </c>
    </row>
    <row r="2" spans="1:3" x14ac:dyDescent="0.25">
      <c r="A2" s="21" t="s">
        <v>41</v>
      </c>
      <c r="B2" s="22"/>
      <c r="C2" s="21"/>
    </row>
    <row r="3" spans="1:3" x14ac:dyDescent="0.25">
      <c r="A3" s="21" t="s">
        <v>42</v>
      </c>
      <c r="B3" s="22"/>
      <c r="C3" s="21"/>
    </row>
    <row r="4" spans="1:3" x14ac:dyDescent="0.25">
      <c r="A4" s="21" t="s">
        <v>43</v>
      </c>
      <c r="B4" s="22"/>
      <c r="C4" s="21"/>
    </row>
    <row r="5" spans="1:3" x14ac:dyDescent="0.25">
      <c r="A5" s="21" t="s">
        <v>5</v>
      </c>
      <c r="B5" s="22"/>
      <c r="C5" s="21"/>
    </row>
    <row r="6" spans="1:3" x14ac:dyDescent="0.25">
      <c r="A6" s="21" t="s">
        <v>6</v>
      </c>
      <c r="B6" s="22"/>
      <c r="C6" s="21"/>
    </row>
    <row r="7" spans="1:3" x14ac:dyDescent="0.25">
      <c r="A7" s="21" t="s">
        <v>44</v>
      </c>
      <c r="B7" s="22"/>
      <c r="C7" s="21"/>
    </row>
    <row r="8" spans="1:3" x14ac:dyDescent="0.25">
      <c r="A8" s="21" t="s">
        <v>45</v>
      </c>
      <c r="B8" s="22"/>
      <c r="C8" s="21"/>
    </row>
    <row r="9" spans="1:3" x14ac:dyDescent="0.25">
      <c r="A9" s="21" t="s">
        <v>46</v>
      </c>
      <c r="B9" s="22"/>
      <c r="C9" s="21"/>
    </row>
    <row r="10" spans="1:3" x14ac:dyDescent="0.25">
      <c r="A10" s="21" t="s">
        <v>47</v>
      </c>
      <c r="B10" s="22"/>
      <c r="C10" s="21"/>
    </row>
    <row r="11" spans="1:3" x14ac:dyDescent="0.25">
      <c r="A11" s="21" t="s">
        <v>27</v>
      </c>
      <c r="B11" s="22"/>
      <c r="C11" s="21"/>
    </row>
    <row r="12" spans="1:3" x14ac:dyDescent="0.25">
      <c r="A12" s="21" t="s">
        <v>48</v>
      </c>
      <c r="B12" s="22"/>
      <c r="C12" s="21"/>
    </row>
    <row r="13" spans="1:3" x14ac:dyDescent="0.25">
      <c r="A13" s="21" t="s">
        <v>49</v>
      </c>
      <c r="B13" s="22"/>
      <c r="C13" s="21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0EB1C-D706-4F74-9673-D110E5326842}">
  <dimension ref="A1:B8"/>
  <sheetViews>
    <sheetView workbookViewId="0">
      <selection activeCell="A9" sqref="A9"/>
    </sheetView>
  </sheetViews>
  <sheetFormatPr defaultRowHeight="15" x14ac:dyDescent="0.25"/>
  <sheetData>
    <row r="1" spans="1:2" x14ac:dyDescent="0.25">
      <c r="A1" t="s">
        <v>1</v>
      </c>
      <c r="B1" t="s">
        <v>2</v>
      </c>
    </row>
    <row r="2" spans="1:2" x14ac:dyDescent="0.25">
      <c r="A2" t="s">
        <v>3</v>
      </c>
    </row>
    <row r="3" spans="1:2" x14ac:dyDescent="0.25">
      <c r="A3" t="s">
        <v>4</v>
      </c>
    </row>
    <row r="4" spans="1:2" x14ac:dyDescent="0.25">
      <c r="A4" t="s">
        <v>5</v>
      </c>
    </row>
    <row r="5" spans="1:2" x14ac:dyDescent="0.25">
      <c r="A5" t="s">
        <v>6</v>
      </c>
    </row>
    <row r="6" spans="1:2" x14ac:dyDescent="0.25">
      <c r="A6" t="s">
        <v>7</v>
      </c>
    </row>
    <row r="7" spans="1:2" x14ac:dyDescent="0.25">
      <c r="A7" t="s">
        <v>8</v>
      </c>
    </row>
    <row r="8" spans="1:2" x14ac:dyDescent="0.25">
      <c r="A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1C869-282C-4C60-88D4-560664883503}">
  <dimension ref="A1"/>
  <sheetViews>
    <sheetView workbookViewId="0">
      <selection activeCell="K10" sqref="K1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Dashboard</vt:lpstr>
      <vt:lpstr>Fertilizante</vt:lpstr>
      <vt:lpstr>Receitas</vt:lpstr>
      <vt:lpstr>Core</vt:lpstr>
      <vt:lpstr>Resultados</vt:lpstr>
      <vt:lpstr>Agua</vt:lpstr>
      <vt:lpstr>Historico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Jefferson Fernandes</dc:creator>
  <cp:lastModifiedBy>JEFFERSON OLIVEIRA FERNANDES</cp:lastModifiedBy>
  <dcterms:created xsi:type="dcterms:W3CDTF">2026-07-23T12:50:30Z</dcterms:created>
  <dcterms:modified xsi:type="dcterms:W3CDTF">2026-07-24T01:46:15Z</dcterms:modified>
</cp:coreProperties>
</file>
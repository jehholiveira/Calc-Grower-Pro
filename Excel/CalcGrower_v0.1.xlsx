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381C40-869E-41B0-98A7-3E7F24F849BC}" xr6:coauthVersionLast="47" xr6:coauthVersionMax="47" xr10:uidLastSave="{00000000-0000-0000-0000-000000000000}"/>
  <bookViews>
    <workbookView xWindow="28680" yWindow="-120" windowWidth="29040" windowHeight="16440" activeTab="3" xr2:uid="{460B75DA-C666-464C-971D-95AEB43A337B}"/>
  </bookViews>
  <sheets>
    <sheet name="Dashboard" sheetId="1" r:id="rId1"/>
    <sheet name="Águas" sheetId="11" r:id="rId2"/>
    <sheet name="Agua" sheetId="3" r:id="rId3"/>
    <sheet name="Fertilizante" sheetId="2" r:id="rId4"/>
    <sheet name="Metas" sheetId="9" r:id="rId5"/>
    <sheet name="Formulação" sheetId="7" r:id="rId6"/>
    <sheet name="Core" sheetId="8" r:id="rId7"/>
    <sheet name="Planilha2" sheetId="13" r:id="rId8"/>
    <sheet name="Resultados" sheetId="6" r:id="rId9"/>
    <sheet name="Testes" sheetId="10" r:id="rId10"/>
    <sheet name="Receitas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8" l="1"/>
  <c r="N2" i="8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A16" i="8"/>
  <c r="A15" i="8"/>
  <c r="E15" i="8" s="1"/>
  <c r="D15" i="8"/>
  <c r="A14" i="8"/>
  <c r="G14" i="8" s="1"/>
  <c r="A13" i="8"/>
  <c r="D13" i="8" s="1"/>
  <c r="S13" i="8" s="1"/>
  <c r="G13" i="8"/>
  <c r="M13" i="8"/>
  <c r="AB13" i="8" s="1"/>
  <c r="N13" i="8"/>
  <c r="AC13" i="8" s="1"/>
  <c r="V13" i="8"/>
  <c r="A12" i="8"/>
  <c r="D12" i="8" s="1"/>
  <c r="A11" i="8"/>
  <c r="D11" i="8" s="1"/>
  <c r="A10" i="8"/>
  <c r="D10" i="8" s="1"/>
  <c r="S10" i="8" s="1"/>
  <c r="A9" i="8"/>
  <c r="A8" i="8"/>
  <c r="D8" i="8" s="1"/>
  <c r="S8" i="8" s="1"/>
  <c r="A3" i="8"/>
  <c r="F3" i="8" s="1"/>
  <c r="A4" i="8"/>
  <c r="K4" i="8" s="1"/>
  <c r="Z4" i="8" s="1"/>
  <c r="A5" i="8"/>
  <c r="N5" i="8" s="1"/>
  <c r="A6" i="8"/>
  <c r="A7" i="8"/>
  <c r="L7" i="8" s="1"/>
  <c r="C28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" i="6"/>
  <c r="C3" i="6"/>
  <c r="C4" i="6"/>
  <c r="C5" i="6"/>
  <c r="C6" i="6"/>
  <c r="C7" i="6"/>
  <c r="C8" i="6"/>
  <c r="C9" i="6"/>
  <c r="C10" i="6"/>
  <c r="C11" i="6"/>
  <c r="C12" i="6"/>
  <c r="C13" i="6"/>
  <c r="H3" i="10"/>
  <c r="H4" i="10"/>
  <c r="H5" i="10"/>
  <c r="H6" i="10"/>
  <c r="H7" i="10"/>
  <c r="G2" i="10"/>
  <c r="H2" i="10" s="1"/>
  <c r="G3" i="10"/>
  <c r="G4" i="10"/>
  <c r="G5" i="10"/>
  <c r="G6" i="10"/>
  <c r="G7" i="10"/>
  <c r="N7" i="8"/>
  <c r="G4" i="8"/>
  <c r="V4" i="8" s="1"/>
  <c r="G7" i="8"/>
  <c r="F7" i="8"/>
  <c r="D7" i="8"/>
  <c r="Q2" i="8" l="1"/>
  <c r="C2" i="8"/>
  <c r="R2" i="8" s="1"/>
  <c r="L13" i="8"/>
  <c r="AA13" i="8" s="1"/>
  <c r="U3" i="8"/>
  <c r="I15" i="8"/>
  <c r="R8" i="8"/>
  <c r="H15" i="8"/>
  <c r="R9" i="8"/>
  <c r="H7" i="8"/>
  <c r="H5" i="8"/>
  <c r="W5" i="8" s="1"/>
  <c r="I7" i="8"/>
  <c r="X7" i="8" s="1"/>
  <c r="N9" i="8"/>
  <c r="AC9" i="8" s="1"/>
  <c r="G15" i="8"/>
  <c r="K7" i="8"/>
  <c r="M9" i="8"/>
  <c r="AB9" i="8" s="1"/>
  <c r="F15" i="8"/>
  <c r="R5" i="8"/>
  <c r="M7" i="8"/>
  <c r="AB7" i="8" s="1"/>
  <c r="L9" i="8"/>
  <c r="AA9" i="8" s="1"/>
  <c r="R16" i="8"/>
  <c r="D4" i="8"/>
  <c r="S4" i="8" s="1"/>
  <c r="I4" i="8"/>
  <c r="X4" i="8" s="1"/>
  <c r="K9" i="8"/>
  <c r="Z9" i="8" s="1"/>
  <c r="D3" i="8"/>
  <c r="S3" i="8" s="1"/>
  <c r="I3" i="8"/>
  <c r="X3" i="8" s="1"/>
  <c r="J9" i="8"/>
  <c r="Y9" i="8" s="1"/>
  <c r="E7" i="8"/>
  <c r="T7" i="8" s="1"/>
  <c r="J7" i="8"/>
  <c r="Y7" i="8" s="1"/>
  <c r="I9" i="8"/>
  <c r="X9" i="8" s="1"/>
  <c r="E3" i="8"/>
  <c r="T3" i="8" s="1"/>
  <c r="J3" i="8"/>
  <c r="Y3" i="8" s="1"/>
  <c r="H9" i="8"/>
  <c r="W9" i="8" s="1"/>
  <c r="N15" i="8"/>
  <c r="AC15" i="8" s="1"/>
  <c r="L3" i="8"/>
  <c r="AA3" i="8" s="1"/>
  <c r="G3" i="8"/>
  <c r="V3" i="8" s="1"/>
  <c r="M3" i="8"/>
  <c r="AB3" i="8" s="1"/>
  <c r="N4" i="8"/>
  <c r="AC4" i="8" s="1"/>
  <c r="H3" i="8"/>
  <c r="W3" i="8" s="1"/>
  <c r="N3" i="8"/>
  <c r="AC3" i="8" s="1"/>
  <c r="R3" i="8"/>
  <c r="R4" i="8"/>
  <c r="I5" i="8"/>
  <c r="X5" i="8" s="1"/>
  <c r="G9" i="8"/>
  <c r="V9" i="8" s="1"/>
  <c r="M15" i="8"/>
  <c r="AB15" i="8" s="1"/>
  <c r="F4" i="8"/>
  <c r="U4" i="8" s="1"/>
  <c r="K3" i="8"/>
  <c r="Z3" i="8" s="1"/>
  <c r="F9" i="8"/>
  <c r="U9" i="8" s="1"/>
  <c r="L15" i="8"/>
  <c r="AA15" i="8" s="1"/>
  <c r="E9" i="8"/>
  <c r="T9" i="8" s="1"/>
  <c r="K15" i="8"/>
  <c r="Z15" i="8" s="1"/>
  <c r="H4" i="8"/>
  <c r="W4" i="8" s="1"/>
  <c r="L4" i="8"/>
  <c r="AA4" i="8" s="1"/>
  <c r="J15" i="8"/>
  <c r="Y15" i="8" s="1"/>
  <c r="J2" i="8"/>
  <c r="Y2" i="8" s="1"/>
  <c r="F2" i="8"/>
  <c r="U2" i="8" s="1"/>
  <c r="K2" i="8"/>
  <c r="Z2" i="8" s="1"/>
  <c r="G2" i="8"/>
  <c r="V2" i="8" s="1"/>
  <c r="L2" i="8"/>
  <c r="AA2" i="8" s="1"/>
  <c r="H2" i="8"/>
  <c r="W2" i="8" s="1"/>
  <c r="M2" i="8"/>
  <c r="AB2" i="8" s="1"/>
  <c r="I2" i="8"/>
  <c r="X2" i="8" s="1"/>
  <c r="D2" i="8"/>
  <c r="S2" i="8" s="1"/>
  <c r="E2" i="8"/>
  <c r="T2" i="8" s="1"/>
  <c r="X15" i="8"/>
  <c r="K13" i="8"/>
  <c r="Z13" i="8" s="1"/>
  <c r="J13" i="8"/>
  <c r="Y13" i="8" s="1"/>
  <c r="I13" i="8"/>
  <c r="X13" i="8" s="1"/>
  <c r="W15" i="8"/>
  <c r="F13" i="8"/>
  <c r="U13" i="8" s="1"/>
  <c r="R13" i="8"/>
  <c r="F14" i="8"/>
  <c r="U14" i="8" s="1"/>
  <c r="R11" i="8"/>
  <c r="E14" i="8"/>
  <c r="T14" i="8" s="1"/>
  <c r="R15" i="8"/>
  <c r="V7" i="8"/>
  <c r="R7" i="8"/>
  <c r="Z7" i="8"/>
  <c r="S15" i="8"/>
  <c r="W7" i="8"/>
  <c r="AA7" i="8"/>
  <c r="T15" i="8"/>
  <c r="AC2" i="8"/>
  <c r="R6" i="8"/>
  <c r="S7" i="8"/>
  <c r="AC5" i="8"/>
  <c r="AC7" i="8"/>
  <c r="U7" i="8"/>
  <c r="S11" i="8"/>
  <c r="V14" i="8"/>
  <c r="V15" i="8"/>
  <c r="U15" i="8"/>
  <c r="S12" i="8"/>
  <c r="N16" i="8"/>
  <c r="AC16" i="8" s="1"/>
  <c r="M16" i="8"/>
  <c r="AB16" i="8" s="1"/>
  <c r="L16" i="8"/>
  <c r="AA16" i="8" s="1"/>
  <c r="I16" i="8"/>
  <c r="X16" i="8" s="1"/>
  <c r="K16" i="8"/>
  <c r="Z16" i="8" s="1"/>
  <c r="J16" i="8"/>
  <c r="Y16" i="8" s="1"/>
  <c r="H16" i="8"/>
  <c r="W16" i="8" s="1"/>
  <c r="G16" i="8"/>
  <c r="V16" i="8" s="1"/>
  <c r="F16" i="8"/>
  <c r="U16" i="8" s="1"/>
  <c r="E16" i="8"/>
  <c r="T16" i="8" s="1"/>
  <c r="D16" i="8"/>
  <c r="S16" i="8" s="1"/>
  <c r="M14" i="8"/>
  <c r="AB14" i="8" s="1"/>
  <c r="L14" i="8"/>
  <c r="AA14" i="8" s="1"/>
  <c r="D14" i="8"/>
  <c r="S14" i="8" s="1"/>
  <c r="K14" i="8"/>
  <c r="Z14" i="8" s="1"/>
  <c r="J14" i="8"/>
  <c r="Y14" i="8" s="1"/>
  <c r="I14" i="8"/>
  <c r="X14" i="8" s="1"/>
  <c r="N14" i="8"/>
  <c r="AC14" i="8" s="1"/>
  <c r="H14" i="8"/>
  <c r="W14" i="8" s="1"/>
  <c r="R14" i="8"/>
  <c r="H13" i="8"/>
  <c r="W13" i="8" s="1"/>
  <c r="E13" i="8"/>
  <c r="T13" i="8" s="1"/>
  <c r="M12" i="8"/>
  <c r="AB12" i="8" s="1"/>
  <c r="L12" i="8"/>
  <c r="AA12" i="8" s="1"/>
  <c r="I12" i="8"/>
  <c r="X12" i="8" s="1"/>
  <c r="K12" i="8"/>
  <c r="Z12" i="8" s="1"/>
  <c r="J12" i="8"/>
  <c r="Y12" i="8" s="1"/>
  <c r="H12" i="8"/>
  <c r="W12" i="8" s="1"/>
  <c r="N12" i="8"/>
  <c r="AC12" i="8" s="1"/>
  <c r="G12" i="8"/>
  <c r="V12" i="8" s="1"/>
  <c r="F12" i="8"/>
  <c r="U12" i="8" s="1"/>
  <c r="E12" i="8"/>
  <c r="T12" i="8" s="1"/>
  <c r="R12" i="8"/>
  <c r="N11" i="8"/>
  <c r="AC11" i="8" s="1"/>
  <c r="L11" i="8"/>
  <c r="AA11" i="8" s="1"/>
  <c r="I11" i="8"/>
  <c r="X11" i="8" s="1"/>
  <c r="H11" i="8"/>
  <c r="W11" i="8" s="1"/>
  <c r="M11" i="8"/>
  <c r="AB11" i="8" s="1"/>
  <c r="K11" i="8"/>
  <c r="Z11" i="8" s="1"/>
  <c r="J11" i="8"/>
  <c r="Y11" i="8" s="1"/>
  <c r="G11" i="8"/>
  <c r="V11" i="8" s="1"/>
  <c r="F11" i="8"/>
  <c r="U11" i="8" s="1"/>
  <c r="E11" i="8"/>
  <c r="T11" i="8" s="1"/>
  <c r="N10" i="8"/>
  <c r="AC10" i="8" s="1"/>
  <c r="M10" i="8"/>
  <c r="AB10" i="8" s="1"/>
  <c r="L10" i="8"/>
  <c r="AA10" i="8" s="1"/>
  <c r="J10" i="8"/>
  <c r="Y10" i="8" s="1"/>
  <c r="I10" i="8"/>
  <c r="X10" i="8" s="1"/>
  <c r="K10" i="8"/>
  <c r="Z10" i="8" s="1"/>
  <c r="H10" i="8"/>
  <c r="W10" i="8" s="1"/>
  <c r="R10" i="8"/>
  <c r="G10" i="8"/>
  <c r="V10" i="8" s="1"/>
  <c r="F10" i="8"/>
  <c r="U10" i="8" s="1"/>
  <c r="E10" i="8"/>
  <c r="T10" i="8" s="1"/>
  <c r="D9" i="8"/>
  <c r="S9" i="8" s="1"/>
  <c r="N8" i="8"/>
  <c r="AC8" i="8" s="1"/>
  <c r="I8" i="8"/>
  <c r="X8" i="8" s="1"/>
  <c r="M8" i="8"/>
  <c r="AB8" i="8" s="1"/>
  <c r="L8" i="8"/>
  <c r="AA8" i="8" s="1"/>
  <c r="K8" i="8"/>
  <c r="Z8" i="8" s="1"/>
  <c r="J8" i="8"/>
  <c r="Y8" i="8" s="1"/>
  <c r="H8" i="8"/>
  <c r="W8" i="8" s="1"/>
  <c r="G8" i="8"/>
  <c r="V8" i="8" s="1"/>
  <c r="F8" i="8"/>
  <c r="U8" i="8" s="1"/>
  <c r="E8" i="8"/>
  <c r="T8" i="8" s="1"/>
  <c r="I6" i="8"/>
  <c r="X6" i="8" s="1"/>
  <c r="D5" i="8"/>
  <c r="S5" i="8" s="1"/>
  <c r="J6" i="8"/>
  <c r="Y6" i="8" s="1"/>
  <c r="J5" i="8"/>
  <c r="Y5" i="8" s="1"/>
  <c r="J4" i="8"/>
  <c r="Y4" i="8" s="1"/>
  <c r="M6" i="8"/>
  <c r="AB6" i="8" s="1"/>
  <c r="D6" i="8"/>
  <c r="S6" i="8" s="1"/>
  <c r="L6" i="8"/>
  <c r="AA6" i="8" s="1"/>
  <c r="G6" i="8"/>
  <c r="V6" i="8" s="1"/>
  <c r="M5" i="8"/>
  <c r="AB5" i="8" s="1"/>
  <c r="L5" i="8"/>
  <c r="AA5" i="8" s="1"/>
  <c r="G5" i="8"/>
  <c r="V5" i="8" s="1"/>
  <c r="E6" i="8"/>
  <c r="T6" i="8" s="1"/>
  <c r="E5" i="8"/>
  <c r="T5" i="8" s="1"/>
  <c r="E4" i="8"/>
  <c r="T4" i="8" s="1"/>
  <c r="H6" i="8"/>
  <c r="W6" i="8" s="1"/>
  <c r="M4" i="8"/>
  <c r="AB4" i="8" s="1"/>
  <c r="F6" i="8"/>
  <c r="U6" i="8" s="1"/>
  <c r="N6" i="8"/>
  <c r="AC6" i="8" s="1"/>
  <c r="K6" i="8"/>
  <c r="Z6" i="8" s="1"/>
  <c r="K5" i="8"/>
  <c r="Z5" i="8" s="1"/>
  <c r="F5" i="8"/>
  <c r="U5" i="8" s="1"/>
  <c r="B28" i="8" l="1"/>
  <c r="B9" i="6" s="1"/>
  <c r="F9" i="6" s="1"/>
  <c r="B31" i="8"/>
  <c r="B12" i="6" s="1"/>
  <c r="D12" i="6" s="1"/>
  <c r="E12" i="6" s="1"/>
  <c r="B22" i="8"/>
  <c r="B3" i="6" s="1"/>
  <c r="D3" i="6" s="1"/>
  <c r="E3" i="6" s="1"/>
  <c r="B21" i="8"/>
  <c r="B2" i="6" s="1"/>
  <c r="F2" i="6" s="1"/>
  <c r="B27" i="8"/>
  <c r="B8" i="6" s="1"/>
  <c r="F8" i="6" s="1"/>
  <c r="B32" i="8"/>
  <c r="B13" i="6" s="1"/>
  <c r="D13" i="6" s="1"/>
  <c r="E13" i="6" s="1"/>
  <c r="B25" i="8"/>
  <c r="B6" i="6" s="1"/>
  <c r="D6" i="6" s="1"/>
  <c r="E6" i="6" s="1"/>
  <c r="B24" i="8"/>
  <c r="B5" i="6" s="1"/>
  <c r="D5" i="6" s="1"/>
  <c r="E5" i="6" s="1"/>
  <c r="B26" i="8"/>
  <c r="B7" i="6" s="1"/>
  <c r="F7" i="6" s="1"/>
  <c r="B29" i="8"/>
  <c r="B10" i="6" s="1"/>
  <c r="F10" i="6" s="1"/>
  <c r="B23" i="8"/>
  <c r="B4" i="6" s="1"/>
  <c r="D4" i="6" s="1"/>
  <c r="E4" i="6" s="1"/>
  <c r="B30" i="8"/>
  <c r="B11" i="6" s="1"/>
  <c r="D11" i="6" s="1"/>
  <c r="E11" i="6" s="1"/>
  <c r="F6" i="6" l="1"/>
  <c r="D2" i="6"/>
  <c r="E2" i="6" s="1"/>
  <c r="D9" i="6"/>
  <c r="E9" i="6" s="1"/>
  <c r="F12" i="6"/>
  <c r="F13" i="6"/>
  <c r="D8" i="6"/>
  <c r="E8" i="6" s="1"/>
  <c r="D7" i="6"/>
  <c r="E7" i="6" s="1"/>
  <c r="F3" i="6"/>
  <c r="D10" i="6"/>
  <c r="E10" i="6" s="1"/>
  <c r="F5" i="6"/>
  <c r="F4" i="6"/>
  <c r="F11" i="6"/>
</calcChain>
</file>

<file path=xl/sharedStrings.xml><?xml version="1.0" encoding="utf-8"?>
<sst xmlns="http://schemas.openxmlformats.org/spreadsheetml/2006/main" count="224" uniqueCount="127">
  <si>
    <t>Fabricante</t>
  </si>
  <si>
    <t>Parametro</t>
  </si>
  <si>
    <t>Valor</t>
  </si>
  <si>
    <t>EC</t>
  </si>
  <si>
    <t>pH</t>
  </si>
  <si>
    <t>Ca</t>
  </si>
  <si>
    <t>Mg</t>
  </si>
  <si>
    <t>Na</t>
  </si>
  <si>
    <t>Nitrato de cálcio</t>
  </si>
  <si>
    <t>MKP</t>
  </si>
  <si>
    <t>Sulfato de magnésio</t>
  </si>
  <si>
    <t>F001</t>
  </si>
  <si>
    <t>ID</t>
  </si>
  <si>
    <t>Solubilidade (g/L)</t>
  </si>
  <si>
    <t>Preço (R$/Kg)</t>
  </si>
  <si>
    <t>Observações</t>
  </si>
  <si>
    <t>F002</t>
  </si>
  <si>
    <t>Nitrato de potássio</t>
  </si>
  <si>
    <t>F003</t>
  </si>
  <si>
    <t>F004</t>
  </si>
  <si>
    <t>F005</t>
  </si>
  <si>
    <t>Sulfato de potássio</t>
  </si>
  <si>
    <t>F006</t>
  </si>
  <si>
    <t>Micromix Rigrantec</t>
  </si>
  <si>
    <t>A</t>
  </si>
  <si>
    <t>B</t>
  </si>
  <si>
    <t>Grupo de concentrado</t>
  </si>
  <si>
    <t>Produto</t>
  </si>
  <si>
    <t>Fertilizante</t>
  </si>
  <si>
    <t>Vegetativo</t>
  </si>
  <si>
    <t>Ferilizante</t>
  </si>
  <si>
    <t xml:space="preserve"> g/L</t>
  </si>
  <si>
    <t>N</t>
  </si>
  <si>
    <t>P</t>
  </si>
  <si>
    <t>K</t>
  </si>
  <si>
    <t>S</t>
  </si>
  <si>
    <t>Fe</t>
  </si>
  <si>
    <t>Mn</t>
  </si>
  <si>
    <t>Zn</t>
  </si>
  <si>
    <t>Cu</t>
  </si>
  <si>
    <t>Mo</t>
  </si>
  <si>
    <t>N ppm</t>
  </si>
  <si>
    <t>P ppm</t>
  </si>
  <si>
    <t>K ppm</t>
  </si>
  <si>
    <t>Ca ppm</t>
  </si>
  <si>
    <t>Mg ppm</t>
  </si>
  <si>
    <t>S ppm</t>
  </si>
  <si>
    <t>Fe ppm</t>
  </si>
  <si>
    <t>Mn ppm</t>
  </si>
  <si>
    <t>Zn ppm</t>
  </si>
  <si>
    <t>B ppm</t>
  </si>
  <si>
    <t>Cu ppm</t>
  </si>
  <si>
    <t>Mo ppm</t>
  </si>
  <si>
    <t>Nitrogênio (N)</t>
  </si>
  <si>
    <t>Fósforo (P)</t>
  </si>
  <si>
    <t>Potássio (K)</t>
  </si>
  <si>
    <t>Cálcio (Ca)</t>
  </si>
  <si>
    <t>Magnésio (Mg)</t>
  </si>
  <si>
    <t>Enxofre (S)</t>
  </si>
  <si>
    <t>Ferro (Fe)</t>
  </si>
  <si>
    <t>Manganês (Mn)</t>
  </si>
  <si>
    <t>Zinco (Zn)</t>
  </si>
  <si>
    <t>Boro (B)</t>
  </si>
  <si>
    <t>Cobre (Cu)</t>
  </si>
  <si>
    <t>Molibdênio (Mo)</t>
  </si>
  <si>
    <t>Formula</t>
  </si>
  <si>
    <t>Nutriente</t>
  </si>
  <si>
    <t>Categoria</t>
  </si>
  <si>
    <t>Macronutrientes</t>
  </si>
  <si>
    <t>Micronutrientes</t>
  </si>
  <si>
    <t>Elemnto Principal</t>
  </si>
  <si>
    <t>Micro</t>
  </si>
  <si>
    <t>ppm</t>
  </si>
  <si>
    <t>Status</t>
  </si>
  <si>
    <t>Meta</t>
  </si>
  <si>
    <t>Diferença</t>
  </si>
  <si>
    <t>Muda</t>
  </si>
  <si>
    <t>Stretch</t>
  </si>
  <si>
    <t>Floração</t>
  </si>
  <si>
    <t>Final</t>
  </si>
  <si>
    <t>T001</t>
  </si>
  <si>
    <t>T002</t>
  </si>
  <si>
    <t>T003</t>
  </si>
  <si>
    <t>T004</t>
  </si>
  <si>
    <t>g/L</t>
  </si>
  <si>
    <t>Valor Esperado</t>
  </si>
  <si>
    <t>Valor Calculado</t>
  </si>
  <si>
    <t>T005</t>
  </si>
  <si>
    <t>T006</t>
  </si>
  <si>
    <t>Alvo MVP</t>
  </si>
  <si>
    <t>Nome</t>
  </si>
  <si>
    <t>Versão</t>
  </si>
  <si>
    <t>Autor</t>
  </si>
  <si>
    <t>Data</t>
  </si>
  <si>
    <t>Substrato</t>
  </si>
  <si>
    <t>Cultivo</t>
  </si>
  <si>
    <t>Fase</t>
  </si>
  <si>
    <t>Volume</t>
  </si>
  <si>
    <t>Água</t>
  </si>
  <si>
    <t>Nome da água</t>
  </si>
  <si>
    <t>Origem</t>
  </si>
  <si>
    <t>Temperatura</t>
  </si>
  <si>
    <t>CI</t>
  </si>
  <si>
    <t>HCO3</t>
  </si>
  <si>
    <t>FE</t>
  </si>
  <si>
    <t>SO4</t>
  </si>
  <si>
    <t>Campo</t>
  </si>
  <si>
    <t>Nome da Receita</t>
  </si>
  <si>
    <t>Cultivar</t>
  </si>
  <si>
    <t>Volume da solução (L)</t>
  </si>
  <si>
    <t>Água utilizada</t>
  </si>
  <si>
    <t>EC da água</t>
  </si>
  <si>
    <t>pH da água</t>
  </si>
  <si>
    <t>Quantidade Total (g)</t>
  </si>
  <si>
    <t>Desvio(%)</t>
  </si>
  <si>
    <t>Diagnóstico Geral</t>
  </si>
  <si>
    <t>==============================</t>
  </si>
  <si>
    <t>RESUMO</t>
  </si>
  <si>
    <t>Volume:</t>
  </si>
  <si>
    <t>EC Estimado:</t>
  </si>
  <si>
    <t>pH Alvo:</t>
  </si>
  <si>
    <t>Score:</t>
  </si>
  <si>
    <t>Status:</t>
  </si>
  <si>
    <t>CORE ENGINE</t>
  </si>
  <si>
    <t>Total ppm</t>
  </si>
  <si>
    <t>Custo Total</t>
  </si>
  <si>
    <t>Massa total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</si>
</sst>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9D08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2" fillId="0" borderId="4" xfId="0" applyFont="1" applyBorder="1" applyAlignment="1">
      <alignment horizontal="right" vertical="center"/>
    </xf>
    <xf numFmtId="0" fontId="0" fillId="0" borderId="6" xfId="0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0" fillId="2" borderId="8" xfId="0" applyNumberFormat="1" applyFill="1" applyBorder="1" applyAlignment="1">
      <alignment horizontal="center" vertical="center"/>
    </xf>
    <xf numFmtId="0" fontId="0" fillId="2" borderId="9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0" fillId="3" borderId="7" xfId="0" applyFill="1" applyBorder="1"/>
    <xf numFmtId="0" fontId="0" fillId="4" borderId="6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NumberForma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63">
    <dxf>
      <numFmt numFmtId="0" formatCode="General"/>
      <fill>
        <patternFill patternType="solid">
          <fgColor indexed="64"/>
          <bgColor rgb="FFA9D0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rgb="FFA9D0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solid">
          <fgColor indexed="64"/>
          <bgColor rgb="FFA9D08E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A9D08E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200025</xdr:colOff>
      <xdr:row>17</xdr:row>
      <xdr:rowOff>152400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F925580-64A0-BB6C-9419-6028692FD9B0}"/>
            </a:ext>
          </a:extLst>
        </xdr:cNvPr>
        <xdr:cNvSpPr txBox="1"/>
      </xdr:nvSpPr>
      <xdr:spPr>
        <a:xfrm>
          <a:off x="11344275" y="358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10</xdr:col>
      <xdr:colOff>19050</xdr:colOff>
      <xdr:row>16</xdr:row>
      <xdr:rowOff>1</xdr:rowOff>
    </xdr:from>
    <xdr:to>
      <xdr:col>18</xdr:col>
      <xdr:colOff>590550</xdr:colOff>
      <xdr:row>18</xdr:row>
      <xdr:rowOff>171451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FF98E8D-F667-7842-968B-6A3C3A2AE927}"/>
            </a:ext>
          </a:extLst>
        </xdr:cNvPr>
        <xdr:cNvSpPr txBox="1"/>
      </xdr:nvSpPr>
      <xdr:spPr>
        <a:xfrm>
          <a:off x="6286500" y="3238501"/>
          <a:ext cx="595312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Receita equilibrada para cultivo em coco. A relação entre macronutrientes está próxima das metas. Pequenos ajustes podem ser necessários no cálcio caso a água utilizada possua baixo teor desse nutriente.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14F5B07-C6BF-4725-9102-3E3EDC5C905A}" name="Tabela11" displayName="Tabela11" ref="A1:M2" totalsRowShown="0" headerRowDxfId="41" headerRowBorderDxfId="40" tableBorderDxfId="39" totalsRowBorderDxfId="38">
  <autoFilter ref="A1:M2" xr:uid="{614F5B07-C6BF-4725-9102-3E3EDC5C90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D8E22B3-75D9-4903-BC8A-1F75725F661E}" name="ID" dataDxfId="37"/>
    <tableColumn id="2" xr3:uid="{43D7C108-1B17-4ECA-9CD5-5355A072C0A2}" name="Nome" dataDxfId="36"/>
    <tableColumn id="3" xr3:uid="{96510E99-B052-496F-84F8-7F47C40A1698}" name="Origem" dataDxfId="35"/>
    <tableColumn id="4" xr3:uid="{AEC1C91D-35E1-4A6F-93DD-7199E173290D}" name="EC" dataDxfId="34"/>
    <tableColumn id="5" xr3:uid="{67C7D125-4A24-4EA1-90BF-C67D7DDF982F}" name="pH" dataDxfId="33"/>
    <tableColumn id="6" xr3:uid="{CA4924ED-FBE8-4C0B-BDF3-6799CD7EE405}" name="Ca" dataDxfId="32"/>
    <tableColumn id="7" xr3:uid="{725F51A1-80EC-415D-9501-E1E7A0F1F10F}" name="Mg" dataDxfId="31"/>
    <tableColumn id="8" xr3:uid="{E9D6DC58-72AB-4F03-A4A4-2BFFD4DE797B}" name="Na" dataDxfId="30"/>
    <tableColumn id="9" xr3:uid="{51D474E6-0780-4668-B50E-9D37BD7383E0}" name="K" dataDxfId="29"/>
    <tableColumn id="10" xr3:uid="{C3C95CE8-CDC0-474F-BC04-DE373C5BEB77}" name="Fe" dataDxfId="28"/>
    <tableColumn id="11" xr3:uid="{2291C8F0-5A94-4AE8-BE35-EE88B75DBCAE}" name="CI" dataDxfId="27"/>
    <tableColumn id="12" xr3:uid="{C81BF974-BA79-4349-80DB-3C91A7AF09E2}" name="SO4" dataDxfId="26"/>
    <tableColumn id="13" xr3:uid="{F2A99A4F-544F-4E25-9FB7-AA5481DD78CA}" name="HCO3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4FCE15-A217-4C91-825C-7CAC0F1BAE4A}" name="Tabela8" displayName="Tabela8" ref="A1:B6" totalsRowShown="0" headerRowDxfId="53" headerRowBorderDxfId="52" tableBorderDxfId="51" totalsRowBorderDxfId="50">
  <autoFilter ref="A1:B6" xr:uid="{5A4FCE15-A217-4C91-825C-7CAC0F1BAE4A}">
    <filterColumn colId="0" hiddenButton="1"/>
    <filterColumn colId="1" hiddenButton="1"/>
  </autoFilter>
  <tableColumns count="2">
    <tableColumn id="1" xr3:uid="{C6C5F53F-1B7A-46C0-82B4-2ECBBDC12974}" name="Parametro" dataDxfId="49"/>
    <tableColumn id="2" xr3:uid="{28FD77F5-F0CA-44DF-9C0D-29B98E733881}" name="Valor" dataDxfId="4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E02213-952B-4009-9BF5-D1A23E376292}" name="Tabela9" displayName="Tabela9" ref="D1:E9" totalsRowShown="0" headerRowDxfId="47" headerRowBorderDxfId="46" tableBorderDxfId="45" totalsRowBorderDxfId="44">
  <autoFilter ref="D1:E9" xr:uid="{DCE02213-952B-4009-9BF5-D1A23E376292}">
    <filterColumn colId="0" hiddenButton="1"/>
    <filterColumn colId="1" hiddenButton="1"/>
  </autoFilter>
  <tableColumns count="2">
    <tableColumn id="1" xr3:uid="{D792D8BA-29C1-4709-A2D4-9FE188F56B8D}" name="Nutriente" dataDxfId="43"/>
    <tableColumn id="2" xr3:uid="{CAF141BB-6724-4331-80BC-54820D74EBD9}" name="ppm" dataDxfId="4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143D1-2763-45E0-A650-B62B9F30D4B7}" name="tbFertilizantes" displayName="tbFertilizantes" ref="A1:V7" totalsRowShown="0" headerRowDxfId="162">
  <autoFilter ref="A1:V7" xr:uid="{E7C143D1-2763-45E0-A650-B62B9F30D4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A2D5B959-4CFE-41FF-BC56-0ED245C25662}" name="ID" dataDxfId="161"/>
    <tableColumn id="2" xr3:uid="{54153458-FF24-4BE8-B3E4-9333239EE6AA}" name="Produto" dataDxfId="160"/>
    <tableColumn id="3" xr3:uid="{FAD8C287-0303-4CF4-ACB2-1DA5C6009CA4}" name="Fabricante" dataDxfId="159"/>
    <tableColumn id="4" xr3:uid="{BC5F9AED-CB7E-4034-B0C1-52F67DFF7AC0}" name="Formula" dataDxfId="158"/>
    <tableColumn id="5" xr3:uid="{AD0F1A8E-626E-4680-9E06-6F4AE92225D5}" name="N" dataDxfId="157"/>
    <tableColumn id="6" xr3:uid="{C9064F87-9D4A-4F81-BA6E-3F989239C85C}" name="P" dataDxfId="156"/>
    <tableColumn id="7" xr3:uid="{B1E6223E-C0AE-462D-B234-3496FA6557FE}" name="K" dataDxfId="155"/>
    <tableColumn id="8" xr3:uid="{87CA8122-2D4E-40D5-8337-3B1170425E83}" name="Ca" dataDxfId="154"/>
    <tableColumn id="9" xr3:uid="{20D89E3E-02E5-45FB-951D-019143B8D0FD}" name="Mg" dataDxfId="153"/>
    <tableColumn id="10" xr3:uid="{4331F3AA-3217-4802-8396-EB8F73E23B79}" name="S" dataDxfId="152"/>
    <tableColumn id="11" xr3:uid="{8774BCE4-E672-4957-BEA8-4C83A072A375}" name="Fe" dataDxfId="151"/>
    <tableColumn id="12" xr3:uid="{C439FC58-742E-466F-B739-BB7047BA2264}" name="Mn" dataDxfId="150"/>
    <tableColumn id="13" xr3:uid="{CCF46CA3-6CA5-4697-9E1F-93ED13D77CD3}" name="Zn" dataDxfId="149"/>
    <tableColumn id="14" xr3:uid="{7A1A50A1-E85A-4BAD-95F2-8203DA737C11}" name="B" dataDxfId="148"/>
    <tableColumn id="15" xr3:uid="{713E21AF-495B-40E7-BBAB-95882468D61B}" name="Cu" dataDxfId="147"/>
    <tableColumn id="16" xr3:uid="{95AB7424-53CC-469E-A672-316BEA2C5DD3}" name="Mo" dataDxfId="146"/>
    <tableColumn id="17" xr3:uid="{F657BD02-0735-413F-999A-3AD63FD4BD12}" name="Solubilidade (g/L)" dataDxfId="145"/>
    <tableColumn id="18" xr3:uid="{7D18331B-D187-40EA-A416-22BC6D802169}" name="Preço (R$/Kg)" dataDxfId="144"/>
    <tableColumn id="19" xr3:uid="{517FA329-02F0-4B9D-8205-F5178B426D26}" name="Grupo de concentrado" dataDxfId="143"/>
    <tableColumn id="20" xr3:uid="{09C2E469-2898-4054-BF94-7E1D2B019E71}" name="Observações" dataDxfId="142"/>
    <tableColumn id="21" xr3:uid="{FF527B04-6A97-4781-B26B-5BE6D5F7E717}" name="Categoria" dataDxfId="141"/>
    <tableColumn id="22" xr3:uid="{B9B62B91-2A31-4445-ADEA-C95319A4FBEE}" name="Elemnto Principal" dataDxfId="14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BCF4B7-2194-4DB2-B053-8F5A9F56AA4D}" name="Tabela6" displayName="Tabela6" ref="A1:G13" totalsRowShown="0" headerRowDxfId="78" dataDxfId="76" headerRowBorderDxfId="77" tableBorderDxfId="75" totalsRowBorderDxfId="74">
  <autoFilter ref="A1:G13" xr:uid="{D5BCF4B7-2194-4DB2-B053-8F5A9F56AA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9265F24-5305-4F8C-A64E-D1E19AE6DBE5}" name="Nutriente" dataDxfId="73"/>
    <tableColumn id="2" xr3:uid="{E780DFEA-03ED-48BA-A839-516056C9D710}" name="Alvo MVP" dataDxfId="72"/>
    <tableColumn id="3" xr3:uid="{F51602EB-33C0-47EE-9CAA-47516B1EA02E}" name="Muda" dataDxfId="71"/>
    <tableColumn id="4" xr3:uid="{527D4325-9EA7-4C02-B97F-BA2BECB5CA4A}" name="Vegetativo" dataDxfId="70"/>
    <tableColumn id="5" xr3:uid="{D4E00EE3-4CCE-4EA0-B44D-A949C4D98E69}" name="Stretch" dataDxfId="69"/>
    <tableColumn id="6" xr3:uid="{1870306A-2CCC-4FAC-B29B-C61803C7A932}" name="Floração" dataDxfId="68"/>
    <tableColumn id="7" xr3:uid="{45320FC9-9987-45DC-87C6-A47183AC7033}" name="Final" dataDxfId="67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A07ECC-88AA-4B2A-A441-463B836E8D72}" name="Tabela12" displayName="Tabela12" ref="A1:B10" totalsRowShown="0" headerRowDxfId="18" dataDxfId="22" headerRowBorderDxfId="20" tableBorderDxfId="21" totalsRowBorderDxfId="19">
  <autoFilter ref="A1:B10" xr:uid="{5EA07ECC-88AA-4B2A-A441-463B836E8D72}">
    <filterColumn colId="0" hiddenButton="1"/>
    <filterColumn colId="1" hiddenButton="1"/>
  </autoFilter>
  <tableColumns count="2">
    <tableColumn id="1" xr3:uid="{AACAF1BB-19BB-4915-B77A-B81E0701FC24}" name="Campo" dataDxfId="12"/>
    <tableColumn id="2" xr3:uid="{76545E86-6D2B-4353-94D9-CF9BDEDF9111}" name="Valor" dataDxfId="11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969342-0BA2-41AF-A356-D1AD33B7C051}" name="Tabela13" displayName="Tabela13" ref="A13:C28" totalsRowShown="0" headerRowDxfId="14" headerRowBorderDxfId="16" tableBorderDxfId="17" totalsRowBorderDxfId="15">
  <autoFilter ref="A13:C28" xr:uid="{E9969342-0BA2-41AF-A356-D1AD33B7C051}">
    <filterColumn colId="0" hiddenButton="1"/>
    <filterColumn colId="1" hiddenButton="1"/>
    <filterColumn colId="2" hiddenButton="1"/>
  </autoFilter>
  <tableColumns count="3">
    <tableColumn id="1" xr3:uid="{8E817369-B85F-469B-ABBB-1974DD331063}" name="Fertilizante" dataDxfId="2"/>
    <tableColumn id="2" xr3:uid="{005AB9FD-61D0-418C-AF67-D061C99DF6EB}" name="g/L" dataDxfId="1"/>
    <tableColumn id="3" xr3:uid="{A30663E6-C900-4C13-AA3B-8BEE5E05CDC8}" name="Quantidade Total (g)" dataDxfId="0">
      <calculatedColumnFormula>Tabela13[[#This Row],[g/L]]*$B$7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45FC0-2870-4D2D-9F48-65A968840A8A}" name="tbCore" displayName="tbCore" ref="A1:AC16" totalsRowShown="0" headerRowDxfId="119" dataDxfId="117" headerRowBorderDxfId="118" tableBorderDxfId="116" totalsRowBorderDxfId="115">
  <autoFilter ref="A1:AC16" xr:uid="{36D45FC0-2870-4D2D-9F48-65A968840A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76144110-7C5B-40DD-9FA1-1804EDDC887A}" name="Ferilizante" dataDxfId="10">
      <calculatedColumnFormula>Formulação!A14</calculatedColumnFormula>
    </tableColumn>
    <tableColumn id="2" xr3:uid="{10BA7E9E-ECBA-43AF-8A4F-863888E51EB4}" name=" g/L" dataDxfId="9">
      <calculatedColumnFormula>Formulação!B14</calculatedColumnFormula>
    </tableColumn>
    <tableColumn id="4" xr3:uid="{071736F8-1715-4240-91AA-D56D2D50F809}" name="N" dataDxfId="3">
      <calculatedColumnFormula>IFERROR(_xlfn.XLOOKUP(A2,tbFertilizantes[Produto],tbFertilizantes[N]),0)</calculatedColumnFormula>
    </tableColumn>
    <tableColumn id="5" xr3:uid="{C20B8301-E9FA-4A62-B81D-CB29350E257D}" name="P" dataDxfId="114">
      <calculatedColumnFormula>_xlfn.XLOOKUP(A2,tbFertilizantes[Produto],tbFertilizantes[P],0)</calculatedColumnFormula>
    </tableColumn>
    <tableColumn id="6" xr3:uid="{D421A141-BF96-4F56-B9AC-B09E23DE53D5}" name="K" dataDxfId="113">
      <calculatedColumnFormula>_xlfn.XLOOKUP(A2,tbFertilizantes[Produto],tbFertilizantes[K],0)</calculatedColumnFormula>
    </tableColumn>
    <tableColumn id="7" xr3:uid="{CDBD4152-9341-40E6-88A4-64B4D0CC74ED}" name="Ca" dataDxfId="112">
      <calculatedColumnFormula>_xlfn.XLOOKUP(A2,tbFertilizantes[Produto],tbFertilizantes[Ca],0)</calculatedColumnFormula>
    </tableColumn>
    <tableColumn id="8" xr3:uid="{45116017-A258-437E-8AC5-C287F946F1DD}" name="Mg" dataDxfId="111">
      <calculatedColumnFormula>_xlfn.XLOOKUP(A2,tbFertilizantes[Produto],tbFertilizantes[Mg],0)</calculatedColumnFormula>
    </tableColumn>
    <tableColumn id="9" xr3:uid="{5E6F012E-FB69-498B-B71E-2657778768C5}" name="S" dataDxfId="110">
      <calculatedColumnFormula>_xlfn.XLOOKUP(A2,tbFertilizantes[Produto],tbFertilizantes[S],0)</calculatedColumnFormula>
    </tableColumn>
    <tableColumn id="10" xr3:uid="{E297B97B-F266-4204-B736-ABABD73533F3}" name="Fe" dataDxfId="109">
      <calculatedColumnFormula>_xlfn.XLOOKUP(A2,tbFertilizantes[Produto],tbFertilizantes[Fe],0)</calculatedColumnFormula>
    </tableColumn>
    <tableColumn id="11" xr3:uid="{62C497F4-2678-403F-A627-1FE9CF7127CE}" name="Mn" dataDxfId="108">
      <calculatedColumnFormula>_xlfn.XLOOKUP(A2,tbFertilizantes[Produto],tbFertilizantes[Zn],0)</calculatedColumnFormula>
    </tableColumn>
    <tableColumn id="12" xr3:uid="{8B9DD9A9-951B-4A1F-AE92-E121ADA4F15D}" name="Zn" dataDxfId="107">
      <calculatedColumnFormula>_xlfn.XLOOKUP(A2,tbFertilizantes[Produto],tbFertilizantes[Zn],0)</calculatedColumnFormula>
    </tableColumn>
    <tableColumn id="13" xr3:uid="{33AF03BB-0283-4249-858B-C66710803B38}" name="B" dataDxfId="106">
      <calculatedColumnFormula>_xlfn.XLOOKUP(A2,tbFertilizantes[Produto],tbFertilizantes[B],0)</calculatedColumnFormula>
    </tableColumn>
    <tableColumn id="14" xr3:uid="{65D972A8-ED42-42E6-BF5D-48A1F25490F9}" name="Cu" dataDxfId="105">
      <calculatedColumnFormula>_xlfn.XLOOKUP(A2,tbFertilizantes[Produto],tbFertilizantes[Cu],0)</calculatedColumnFormula>
    </tableColumn>
    <tableColumn id="15" xr3:uid="{039C0F97-EF38-4A5C-86D3-A1DCA39C0276}" name="Mo" dataDxfId="104">
      <calculatedColumnFormula>_xlfn.XLOOKUP(A2,tbFertilizantes[Produto],tbFertilizantes[Mo],0)</calculatedColumnFormula>
    </tableColumn>
    <tableColumn id="3" xr3:uid="{F7D91417-A858-4E45-939F-8D2B161C88E2}" name="Custo Total" dataDxfId="13"/>
    <tableColumn id="28" xr3:uid="{F4771D3F-E3C4-4D9B-9B59-3C575B681CC0}" name="Massa total (g)" dataDxfId="8"/>
    <tableColumn id="29" xr3:uid="{59357B42-4C96-405A-9DC4-9C5D644AEC14}" name="Status" dataDxfId="4">
      <calculatedColumnFormula>IF(COUNTA(A2:A16)&gt;0,"✅ Calculando","⚪ Sem dados")</calculatedColumnFormula>
    </tableColumn>
    <tableColumn id="16" xr3:uid="{577BC5FA-CDBC-48D9-834D-755B12F25F37}" name="N ppm" dataDxfId="103">
      <calculatedColumnFormula>tbCore[[#This Row],[ g/L]]*tbCore[[#This Row],[N]]*10</calculatedColumnFormula>
    </tableColumn>
    <tableColumn id="17" xr3:uid="{E1244B60-4B82-4279-A888-261864D52E49}" name="P ppm" dataDxfId="102">
      <calculatedColumnFormula>tbCore[[#This Row],[ g/L]]*tbCore[[#This Row],[P]]*10</calculatedColumnFormula>
    </tableColumn>
    <tableColumn id="18" xr3:uid="{C8DA11C8-87B1-411A-89D8-C3D52F849DB4}" name="K ppm" dataDxfId="101">
      <calculatedColumnFormula>tbCore[[#This Row],[ g/L]]*tbCore[[#This Row],[K]]*10</calculatedColumnFormula>
    </tableColumn>
    <tableColumn id="19" xr3:uid="{44B282B0-0A73-4207-9B02-E132BC73FB61}" name="Ca ppm" dataDxfId="100">
      <calculatedColumnFormula>tbCore[[#This Row],[ g/L]]*tbCore[[#This Row],[Ca]]*10</calculatedColumnFormula>
    </tableColumn>
    <tableColumn id="20" xr3:uid="{C952A124-2798-4536-A777-9F671ABA262F}" name="Mg ppm" dataDxfId="99">
      <calculatedColumnFormula>tbCore[[#This Row],[ g/L]]*tbCore[[#This Row],[Mg]]*10</calculatedColumnFormula>
    </tableColumn>
    <tableColumn id="21" xr3:uid="{C6CAD4D7-1D78-483B-9A41-4E1E64474A78}" name="S ppm" dataDxfId="98">
      <calculatedColumnFormula>tbCore[[#This Row],[ g/L]]*tbCore[[#This Row],[S]]*10</calculatedColumnFormula>
    </tableColumn>
    <tableColumn id="22" xr3:uid="{6C1FCF1D-7F4A-439A-8EFD-D97B424E9A71}" name="Fe ppm" dataDxfId="97">
      <calculatedColumnFormula>tbCore[[#This Row],[ g/L]]*tbCore[[#This Row],[Fe]]*10</calculatedColumnFormula>
    </tableColumn>
    <tableColumn id="23" xr3:uid="{B3DEFC6B-61B4-4702-9EF7-2775802B94C6}" name="Mn ppm" dataDxfId="96">
      <calculatedColumnFormula>tbCore[[#This Row],[ g/L]]*tbCore[[#This Row],[Mn]]*10</calculatedColumnFormula>
    </tableColumn>
    <tableColumn id="24" xr3:uid="{CFEB854B-DD96-4D8D-BC98-87FE925926E1}" name="Zn ppm" dataDxfId="95">
      <calculatedColumnFormula>tbCore[[#This Row],[ g/L]]*tbCore[[#This Row],[Zn]]*10</calculatedColumnFormula>
    </tableColumn>
    <tableColumn id="25" xr3:uid="{61AF59C0-E414-4BBB-913C-376B84FBBBBE}" name="B ppm" dataDxfId="94">
      <calculatedColumnFormula>tbCore[[#This Row],[ g/L]]*tbCore[[#This Row],[B]]*10</calculatedColumnFormula>
    </tableColumn>
    <tableColumn id="26" xr3:uid="{A344ECD4-6578-48B2-AF50-7AC37612C92E}" name="Cu ppm" dataDxfId="93">
      <calculatedColumnFormula>tbCore[[#This Row],[ g/L]]*tbCore[[#This Row],[Cu]]*10</calculatedColumnFormula>
    </tableColumn>
    <tableColumn id="27" xr3:uid="{464B7893-069D-4A89-A3FB-3FC3DF68B950}" name="Mo ppm" dataDxfId="92">
      <calculatedColumnFormula>tbCore[[#This Row],[ g/L]]*tbCore[[#This Row],[Mo]]*10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A8680-E46F-45AF-98A3-60CA5DC72E09}" name="tbTotalppm" displayName="tbTotalppm" ref="A20:B32" totalsRowShown="0" headerRowDxfId="91" dataDxfId="90">
  <autoFilter ref="A20:B32" xr:uid="{516A8680-E46F-45AF-98A3-60CA5DC72E09}">
    <filterColumn colId="0" hiddenButton="1"/>
    <filterColumn colId="1" hiddenButton="1"/>
  </autoFilter>
  <tableColumns count="2">
    <tableColumn id="1" xr3:uid="{EBE2381E-6F61-4F4F-B83A-2D122EAF76D6}" name="Nutriente" dataDxfId="89"/>
    <tableColumn id="2" xr3:uid="{ED3005D5-F393-4F6C-AAB1-DF3793BF166A}" name="Total ppm" dataDxfId="88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18362D-90E6-481D-99B5-45B4FA225489}" name="Tabela5" displayName="Tabela5" ref="A1:F13" totalsRowShown="0" headerRowDxfId="87" dataDxfId="85" headerRowBorderDxfId="86" tableBorderDxfId="84" totalsRowBorderDxfId="83">
  <autoFilter ref="A1:F13" xr:uid="{0318362D-90E6-481D-99B5-45B4FA2254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F15396-0EBF-4123-8D09-4A26E81979CE}" name="Nutriente" dataDxfId="82"/>
    <tableColumn id="2" xr3:uid="{7C547BD9-ABE0-44C8-812A-D2B0FFDB80B9}" name="ppm" dataDxfId="81">
      <calculatedColumnFormula>Core!B21</calculatedColumnFormula>
    </tableColumn>
    <tableColumn id="3" xr3:uid="{73EF3B55-CC39-46B0-BBE8-3CBAB4CD724B}" name="Meta" dataDxfId="23">
      <calculatedColumnFormula>Tabela6[[#This Row],[Alvo MVP]]</calculatedColumnFormula>
    </tableColumn>
    <tableColumn id="4" xr3:uid="{EE701742-4F52-4900-9B51-0D69C8F7231B}" name="Diferença" dataDxfId="80">
      <calculatedColumnFormula>B2-C2</calculatedColumnFormula>
    </tableColumn>
    <tableColumn id="5" xr3:uid="{D8025130-EDA3-47EC-A4B5-F391E4269202}" name="Status" dataDxfId="79">
      <calculatedColumnFormula>IF(ABS(D2)&lt;=10,"🟢 Ideal",IF(ABS(D2)&lt;=20,"🟡 Ajustar","🔴 Fora da faixa"))</calculatedColumnFormula>
    </tableColumn>
    <tableColumn id="6" xr3:uid="{42E27C0C-3B5C-43F0-92FF-2EC97E3D6819}" name="Desvio(%)" dataDxfId="24">
      <calculatedColumnFormula>((Tabela5[[#This Row],[ppm]]-Tabela5[[#This Row],[Meta]])/Tabela5[[#This Row],[Meta]])*100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095CB0-5962-4DCA-82EC-CA07D2D53B95}" name="Tabela4" displayName="Tabela4" ref="A1:H7" totalsRowShown="0" headerRowDxfId="66" dataDxfId="64" headerRowBorderDxfId="65" tableBorderDxfId="63" totalsRowBorderDxfId="62">
  <autoFilter ref="A1:H7" xr:uid="{5E095CB0-5962-4DCA-82EC-CA07D2D53B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957C0C9-FA60-4F48-88B0-DC64167313E4}" name="ID" dataDxfId="61"/>
    <tableColumn id="2" xr3:uid="{1C2102C2-3A41-414B-B0AB-0F012E5F1886}" name="Fertilizante" dataDxfId="60"/>
    <tableColumn id="3" xr3:uid="{870A6605-2773-45F4-9F8D-CF79C8F90553}" name="g/L" dataDxfId="59"/>
    <tableColumn id="4" xr3:uid="{68FD7135-EE92-44F1-8F44-2FEE340520E9}" name="Nutriente" dataDxfId="58"/>
    <tableColumn id="5" xr3:uid="{7C6282C3-C5E9-4F37-BBD5-4CD612942081}" name="Valor Esperado" dataDxfId="57"/>
    <tableColumn id="6" xr3:uid="{928162D7-31E2-4CE7-B35E-66FFF3E8CD6E}" name="Valor Calculado" dataDxfId="56"/>
    <tableColumn id="7" xr3:uid="{6DCF56AD-C586-4E6E-8367-F087458B883D}" name="Diferença" dataDxfId="55">
      <calculatedColumnFormula>Tabela4[[#This Row],[Valor Calculado]]-Tabela4[[#This Row],[Valor Esperado]]</calculatedColumnFormula>
    </tableColumn>
    <tableColumn id="8" xr3:uid="{224572E6-64BC-4633-88CD-A051ED1AC0E0}" name="Status" dataDxfId="54">
      <calculatedColumnFormula>IF(Tabela4[[#This Row],[Diferença]]=0,"✅ Aprovado","❌ Revisar")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09117B-A72C-47B9-915E-6794D9026216}" name="Tabela7" displayName="Tabela7" ref="A1:J2" totalsRowShown="0" headerRowDxfId="139" headerRowBorderDxfId="138" tableBorderDxfId="137" totalsRowBorderDxfId="136">
  <autoFilter ref="A1:J2" xr:uid="{6809117B-A72C-47B9-915E-6794D90262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408CCAE-66DA-4CC1-9140-5BC25CDE01EF}" name="Nome" dataDxfId="135"/>
    <tableColumn id="2" xr3:uid="{7ECC666C-8736-460A-91E5-F4B38B0ED299}" name="Versão" dataDxfId="134"/>
    <tableColumn id="3" xr3:uid="{0E37C7D3-AC7C-42F6-84BB-54B66C31DCB5}" name="Autor" dataDxfId="133"/>
    <tableColumn id="4" xr3:uid="{41E99A22-3216-4E99-9C7F-039AC61C1E88}" name="Data" dataDxfId="132"/>
    <tableColumn id="5" xr3:uid="{3062AEFA-6390-4F9A-85B3-50F1C5C3AF65}" name="Substrato" dataDxfId="131"/>
    <tableColumn id="6" xr3:uid="{BA3B0C76-A141-4C66-AE29-AC1A8EC28933}" name="Cultivo" dataDxfId="130"/>
    <tableColumn id="7" xr3:uid="{1C7CC09F-9AE6-408E-91E2-EE578A527C24}" name="Fase" dataDxfId="129"/>
    <tableColumn id="8" xr3:uid="{985FAABE-70B4-4840-B866-4FB702E672A2}" name="Volume" dataDxfId="128"/>
    <tableColumn id="9" xr3:uid="{1E8B0D87-ADF9-48B4-A07E-94EBA76349A6}" name="Água" dataDxfId="127"/>
    <tableColumn id="10" xr3:uid="{677AECB6-F6DE-4F34-A231-67AF99F9D651}" name="Observações" dataDxfId="126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95E527-A247-4706-A610-7A7386A90AF3}" name="Tabela10" displayName="Tabela10" ref="M1:N2" totalsRowShown="0" headerRowDxfId="125" headerRowBorderDxfId="124" tableBorderDxfId="123" totalsRowBorderDxfId="122">
  <autoFilter ref="M1:N2" xr:uid="{7395E527-A247-4706-A610-7A7386A90AF3}">
    <filterColumn colId="0" hiddenButton="1"/>
    <filterColumn colId="1" hiddenButton="1"/>
  </autoFilter>
  <tableColumns count="2">
    <tableColumn id="1" xr3:uid="{EAF276C8-5005-4A6A-ADEC-AACB1266543F}" name="Fertilizante" dataDxfId="121"/>
    <tableColumn id="2" xr3:uid="{B6F6623B-7A20-4F51-A68C-F227A480C736}" name="g/L" dataDxfId="1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7D01-075E-4099-AC2B-2ABCAE7B7FF9}">
  <dimension ref="A1"/>
  <sheetViews>
    <sheetView workbookViewId="0">
      <selection activeCell="E15" sqref="E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BBF4-ED2D-41E2-A29A-72C24AA3FAD6}">
  <dimension ref="A1:M2"/>
  <sheetViews>
    <sheetView workbookViewId="0">
      <selection activeCell="Q18" sqref="Q18"/>
    </sheetView>
  </sheetViews>
  <sheetFormatPr defaultRowHeight="15" x14ac:dyDescent="0.25"/>
  <cols>
    <col min="1" max="1" width="2.85546875" bestFit="1" customWidth="1"/>
    <col min="2" max="2" width="6.42578125" bestFit="1" customWidth="1"/>
    <col min="3" max="3" width="7.5703125" bestFit="1" customWidth="1"/>
    <col min="4" max="4" width="3.140625" bestFit="1" customWidth="1"/>
    <col min="5" max="5" width="3.42578125" bestFit="1" customWidth="1"/>
    <col min="6" max="6" width="3.140625" bestFit="1" customWidth="1"/>
    <col min="7" max="7" width="3.85546875" bestFit="1" customWidth="1"/>
    <col min="8" max="8" width="3.42578125" bestFit="1" customWidth="1"/>
    <col min="9" max="9" width="2.140625" bestFit="1" customWidth="1"/>
    <col min="10" max="10" width="3.140625" bestFit="1" customWidth="1"/>
    <col min="11" max="11" width="2.7109375" bestFit="1" customWidth="1"/>
    <col min="12" max="12" width="4.42578125" bestFit="1" customWidth="1"/>
    <col min="13" max="13" width="5.85546875" bestFit="1" customWidth="1"/>
  </cols>
  <sheetData>
    <row r="1" spans="1:13" x14ac:dyDescent="0.25">
      <c r="A1" s="20" t="s">
        <v>12</v>
      </c>
      <c r="B1" s="46" t="s">
        <v>90</v>
      </c>
      <c r="C1" s="46" t="s">
        <v>100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34</v>
      </c>
      <c r="J1" s="46" t="s">
        <v>36</v>
      </c>
      <c r="K1" s="46" t="s">
        <v>102</v>
      </c>
      <c r="L1" s="46" t="s">
        <v>105</v>
      </c>
      <c r="M1" s="19" t="s">
        <v>103</v>
      </c>
    </row>
    <row r="2" spans="1:13" x14ac:dyDescent="0.25">
      <c r="A2" s="18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1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EB1C-D706-4F74-9673-D110E5326842}">
  <dimension ref="A1:E9"/>
  <sheetViews>
    <sheetView workbookViewId="0">
      <selection activeCell="K32" sqref="K32"/>
    </sheetView>
  </sheetViews>
  <sheetFormatPr defaultRowHeight="15" x14ac:dyDescent="0.25"/>
  <cols>
    <col min="1" max="1" width="13.7109375" bestFit="1" customWidth="1"/>
    <col min="4" max="4" width="11.85546875" customWidth="1"/>
  </cols>
  <sheetData>
    <row r="1" spans="1:5" x14ac:dyDescent="0.25">
      <c r="A1" s="20" t="s">
        <v>1</v>
      </c>
      <c r="B1" s="19" t="s">
        <v>2</v>
      </c>
      <c r="D1" s="20" t="s">
        <v>66</v>
      </c>
      <c r="E1" s="19" t="s">
        <v>72</v>
      </c>
    </row>
    <row r="2" spans="1:5" x14ac:dyDescent="0.25">
      <c r="A2" s="48" t="s">
        <v>99</v>
      </c>
      <c r="B2" s="49"/>
      <c r="D2" s="48" t="s">
        <v>5</v>
      </c>
      <c r="E2" s="49"/>
    </row>
    <row r="3" spans="1:5" x14ac:dyDescent="0.25">
      <c r="A3" s="48" t="s">
        <v>100</v>
      </c>
      <c r="B3" s="49"/>
      <c r="D3" s="48" t="s">
        <v>6</v>
      </c>
      <c r="E3" s="49"/>
    </row>
    <row r="4" spans="1:5" x14ac:dyDescent="0.25">
      <c r="A4" s="48" t="s">
        <v>3</v>
      </c>
      <c r="B4" s="49"/>
      <c r="D4" s="48" t="s">
        <v>7</v>
      </c>
      <c r="E4" s="49"/>
    </row>
    <row r="5" spans="1:5" x14ac:dyDescent="0.25">
      <c r="A5" s="48" t="s">
        <v>4</v>
      </c>
      <c r="B5" s="49"/>
      <c r="D5" s="48" t="s">
        <v>34</v>
      </c>
      <c r="E5" s="49"/>
    </row>
    <row r="6" spans="1:5" x14ac:dyDescent="0.25">
      <c r="A6" s="18" t="s">
        <v>101</v>
      </c>
      <c r="B6" s="17"/>
      <c r="D6" s="48" t="s">
        <v>35</v>
      </c>
      <c r="E6" s="49"/>
    </row>
    <row r="7" spans="1:5" x14ac:dyDescent="0.25">
      <c r="D7" s="48" t="s">
        <v>102</v>
      </c>
      <c r="E7" s="49"/>
    </row>
    <row r="8" spans="1:5" x14ac:dyDescent="0.25">
      <c r="D8" s="48" t="s">
        <v>103</v>
      </c>
      <c r="E8" s="49"/>
    </row>
    <row r="9" spans="1:5" x14ac:dyDescent="0.25">
      <c r="D9" s="18" t="s">
        <v>104</v>
      </c>
      <c r="E9" s="17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928F-272B-43F4-861A-5D8E0480B12C}">
  <dimension ref="A1:V7"/>
  <sheetViews>
    <sheetView tabSelected="1" topLeftCell="B1" workbookViewId="0">
      <selection activeCell="G21" sqref="G21"/>
    </sheetView>
  </sheetViews>
  <sheetFormatPr defaultRowHeight="15" x14ac:dyDescent="0.25"/>
  <cols>
    <col min="1" max="1" width="5" bestFit="1" customWidth="1"/>
    <col min="2" max="2" width="19.28515625" bestFit="1" customWidth="1"/>
    <col min="3" max="3" width="12.42578125" customWidth="1"/>
    <col min="4" max="4" width="17.85546875" customWidth="1"/>
    <col min="5" max="5" width="8" customWidth="1"/>
    <col min="6" max="7" width="7.7109375" customWidth="1"/>
    <col min="8" max="8" width="8.7109375" customWidth="1"/>
    <col min="9" max="9" width="9.42578125" customWidth="1"/>
    <col min="10" max="10" width="7.5703125" customWidth="1"/>
    <col min="11" max="11" width="8.7109375" customWidth="1"/>
    <col min="12" max="12" width="9.5703125" customWidth="1"/>
    <col min="13" max="13" width="8.7109375" customWidth="1"/>
    <col min="14" max="14" width="7.7109375" customWidth="1"/>
    <col min="15" max="15" width="8.85546875" customWidth="1"/>
    <col min="16" max="16" width="9.5703125" customWidth="1"/>
    <col min="17" max="17" width="18.85546875" customWidth="1"/>
    <col min="18" max="18" width="15.140625" customWidth="1"/>
    <col min="19" max="19" width="22.85546875" customWidth="1"/>
    <col min="20" max="20" width="14.42578125" customWidth="1"/>
    <col min="21" max="21" width="15.85546875" bestFit="1" customWidth="1"/>
    <col min="22" max="22" width="16.7109375" bestFit="1" customWidth="1"/>
  </cols>
  <sheetData>
    <row r="1" spans="1:22" x14ac:dyDescent="0.25">
      <c r="A1" s="3" t="s">
        <v>12</v>
      </c>
      <c r="B1" s="3" t="s">
        <v>27</v>
      </c>
      <c r="C1" s="3" t="s">
        <v>0</v>
      </c>
      <c r="D1" s="3" t="s">
        <v>65</v>
      </c>
      <c r="E1" s="3" t="s">
        <v>32</v>
      </c>
      <c r="F1" s="3" t="s">
        <v>33</v>
      </c>
      <c r="G1" s="3" t="s">
        <v>34</v>
      </c>
      <c r="H1" s="3" t="s">
        <v>5</v>
      </c>
      <c r="I1" s="3" t="s">
        <v>6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25</v>
      </c>
      <c r="O1" s="3" t="s">
        <v>39</v>
      </c>
      <c r="P1" s="3" t="s">
        <v>40</v>
      </c>
      <c r="Q1" s="3" t="s">
        <v>13</v>
      </c>
      <c r="R1" s="3" t="s">
        <v>14</v>
      </c>
      <c r="S1" s="3" t="s">
        <v>26</v>
      </c>
      <c r="T1" s="3" t="s">
        <v>15</v>
      </c>
      <c r="U1" s="3" t="s">
        <v>67</v>
      </c>
      <c r="V1" s="3" t="s">
        <v>70</v>
      </c>
    </row>
    <row r="2" spans="1:22" x14ac:dyDescent="0.25">
      <c r="A2" s="1" t="s">
        <v>11</v>
      </c>
      <c r="B2" s="1" t="s">
        <v>8</v>
      </c>
      <c r="C2" s="7"/>
      <c r="D2" s="7"/>
      <c r="E2" s="16">
        <v>14</v>
      </c>
      <c r="F2" s="7"/>
      <c r="G2" s="7"/>
      <c r="H2" s="7">
        <v>16</v>
      </c>
      <c r="I2" s="7"/>
      <c r="J2" s="7"/>
      <c r="K2" s="7"/>
      <c r="L2" s="7"/>
      <c r="M2" s="7"/>
      <c r="N2" s="7"/>
      <c r="O2" s="7"/>
      <c r="P2" s="7"/>
      <c r="Q2" s="7"/>
      <c r="R2" s="7"/>
      <c r="S2" s="7" t="s">
        <v>24</v>
      </c>
      <c r="T2" s="7"/>
      <c r="U2" s="5" t="s">
        <v>68</v>
      </c>
      <c r="V2" s="5" t="s">
        <v>5</v>
      </c>
    </row>
    <row r="3" spans="1:22" ht="15" customHeight="1" x14ac:dyDescent="0.25">
      <c r="A3" s="2" t="s">
        <v>16</v>
      </c>
      <c r="B3" s="2" t="s">
        <v>17</v>
      </c>
      <c r="C3" s="7"/>
      <c r="D3" s="7"/>
      <c r="E3" s="7">
        <v>12</v>
      </c>
      <c r="F3" s="7"/>
      <c r="G3" s="7">
        <v>45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 t="s">
        <v>25</v>
      </c>
      <c r="T3" s="7"/>
      <c r="U3" s="5" t="s">
        <v>68</v>
      </c>
      <c r="V3" s="7" t="s">
        <v>34</v>
      </c>
    </row>
    <row r="4" spans="1:22" ht="15" customHeight="1" x14ac:dyDescent="0.25">
      <c r="A4" s="2" t="s">
        <v>18</v>
      </c>
      <c r="B4" s="2" t="s">
        <v>9</v>
      </c>
      <c r="C4" s="7"/>
      <c r="D4" s="7"/>
      <c r="E4" s="7"/>
      <c r="F4" s="7">
        <v>51</v>
      </c>
      <c r="G4" s="7">
        <v>30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 t="s">
        <v>25</v>
      </c>
      <c r="T4" s="7"/>
      <c r="U4" s="5" t="s">
        <v>68</v>
      </c>
      <c r="V4" s="7" t="s">
        <v>33</v>
      </c>
    </row>
    <row r="5" spans="1:22" ht="15" customHeight="1" x14ac:dyDescent="0.25">
      <c r="A5" s="2" t="s">
        <v>19</v>
      </c>
      <c r="B5" s="2" t="s">
        <v>10</v>
      </c>
      <c r="C5" s="7"/>
      <c r="D5" s="7"/>
      <c r="E5" s="7"/>
      <c r="F5" s="7"/>
      <c r="G5" s="7"/>
      <c r="H5" s="7"/>
      <c r="I5" s="7">
        <v>9</v>
      </c>
      <c r="J5" s="7">
        <v>11</v>
      </c>
      <c r="K5" s="7"/>
      <c r="L5" s="7"/>
      <c r="M5" s="7"/>
      <c r="N5" s="7"/>
      <c r="O5" s="7"/>
      <c r="P5" s="7"/>
      <c r="Q5" s="7"/>
      <c r="R5" s="7"/>
      <c r="S5" s="7" t="s">
        <v>25</v>
      </c>
      <c r="T5" s="7"/>
      <c r="U5" s="5" t="s">
        <v>68</v>
      </c>
      <c r="V5" s="7" t="s">
        <v>6</v>
      </c>
    </row>
    <row r="6" spans="1:22" ht="15" customHeight="1" x14ac:dyDescent="0.25">
      <c r="A6" s="2" t="s">
        <v>20</v>
      </c>
      <c r="B6" s="2" t="s">
        <v>21</v>
      </c>
      <c r="C6" s="7"/>
      <c r="D6" s="7"/>
      <c r="E6" s="7"/>
      <c r="F6" s="7"/>
      <c r="G6" s="7">
        <v>50</v>
      </c>
      <c r="H6" s="7"/>
      <c r="I6" s="7"/>
      <c r="J6" s="7">
        <v>17</v>
      </c>
      <c r="K6" s="7"/>
      <c r="L6" s="7"/>
      <c r="M6" s="7"/>
      <c r="N6" s="7"/>
      <c r="O6" s="7"/>
      <c r="P6" s="7"/>
      <c r="Q6" s="7"/>
      <c r="R6" s="7"/>
      <c r="S6" s="7" t="s">
        <v>25</v>
      </c>
      <c r="T6" s="7"/>
      <c r="U6" s="5" t="s">
        <v>68</v>
      </c>
      <c r="V6" s="7" t="s">
        <v>34</v>
      </c>
    </row>
    <row r="7" spans="1:22" ht="15" customHeight="1" x14ac:dyDescent="0.25">
      <c r="A7" s="2" t="s">
        <v>22</v>
      </c>
      <c r="B7" s="2" t="s">
        <v>23</v>
      </c>
      <c r="C7" s="7"/>
      <c r="D7" s="7"/>
      <c r="E7" s="7">
        <v>4</v>
      </c>
      <c r="F7" s="7"/>
      <c r="G7" s="7"/>
      <c r="H7" s="7"/>
      <c r="I7" s="7"/>
      <c r="J7" s="7"/>
      <c r="K7" s="7">
        <v>7</v>
      </c>
      <c r="L7" s="7">
        <v>3.3</v>
      </c>
      <c r="M7" s="7">
        <v>0.6</v>
      </c>
      <c r="N7" s="7">
        <v>0.7</v>
      </c>
      <c r="O7" s="7">
        <v>0.2</v>
      </c>
      <c r="P7" s="7">
        <v>0.1</v>
      </c>
      <c r="Q7" s="7"/>
      <c r="R7" s="7"/>
      <c r="S7" s="7" t="s">
        <v>25</v>
      </c>
      <c r="T7" s="7"/>
      <c r="U7" s="8" t="s">
        <v>69</v>
      </c>
      <c r="V7" s="8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E769-EB68-4F67-9D33-FCDE419FF76F}">
  <dimension ref="A1:G13"/>
  <sheetViews>
    <sheetView workbookViewId="0">
      <selection activeCell="B7" sqref="B2:B7"/>
    </sheetView>
  </sheetViews>
  <sheetFormatPr defaultRowHeight="15" x14ac:dyDescent="0.25"/>
  <cols>
    <col min="1" max="2" width="11.85546875" customWidth="1"/>
    <col min="3" max="3" width="8.28515625" customWidth="1"/>
    <col min="4" max="4" width="12.85546875" customWidth="1"/>
    <col min="5" max="5" width="9.42578125" customWidth="1"/>
    <col min="6" max="6" width="10.5703125" customWidth="1"/>
    <col min="7" max="7" width="7.42578125" customWidth="1"/>
  </cols>
  <sheetData>
    <row r="1" spans="1:7" x14ac:dyDescent="0.25">
      <c r="A1" s="21" t="s">
        <v>66</v>
      </c>
      <c r="B1" s="22" t="s">
        <v>89</v>
      </c>
      <c r="C1" s="23" t="s">
        <v>76</v>
      </c>
      <c r="D1" s="23" t="s">
        <v>29</v>
      </c>
      <c r="E1" s="23" t="s">
        <v>77</v>
      </c>
      <c r="F1" s="23" t="s">
        <v>78</v>
      </c>
      <c r="G1" s="42" t="s">
        <v>79</v>
      </c>
    </row>
    <row r="2" spans="1:7" x14ac:dyDescent="0.25">
      <c r="A2" s="36" t="s">
        <v>32</v>
      </c>
      <c r="B2" s="2"/>
      <c r="C2" s="37"/>
      <c r="D2" s="37"/>
      <c r="E2" s="37"/>
      <c r="F2" s="37"/>
      <c r="G2" s="43"/>
    </row>
    <row r="3" spans="1:7" x14ac:dyDescent="0.25">
      <c r="A3" s="36" t="s">
        <v>33</v>
      </c>
      <c r="B3" s="2"/>
      <c r="C3" s="37"/>
      <c r="D3" s="37"/>
      <c r="E3" s="37"/>
      <c r="F3" s="37"/>
      <c r="G3" s="43"/>
    </row>
    <row r="4" spans="1:7" x14ac:dyDescent="0.25">
      <c r="A4" s="36" t="s">
        <v>34</v>
      </c>
      <c r="B4" s="2"/>
      <c r="C4" s="37"/>
      <c r="D4" s="37"/>
      <c r="E4" s="37"/>
      <c r="F4" s="37"/>
      <c r="G4" s="43"/>
    </row>
    <row r="5" spans="1:7" x14ac:dyDescent="0.25">
      <c r="A5" s="36" t="s">
        <v>5</v>
      </c>
      <c r="B5" s="2"/>
      <c r="C5" s="37"/>
      <c r="D5" s="37"/>
      <c r="E5" s="37"/>
      <c r="F5" s="37"/>
      <c r="G5" s="43"/>
    </row>
    <row r="6" spans="1:7" x14ac:dyDescent="0.25">
      <c r="A6" s="36" t="s">
        <v>6</v>
      </c>
      <c r="B6" s="2"/>
      <c r="C6" s="37"/>
      <c r="D6" s="37"/>
      <c r="E6" s="37"/>
      <c r="F6" s="37"/>
      <c r="G6" s="43"/>
    </row>
    <row r="7" spans="1:7" x14ac:dyDescent="0.25">
      <c r="A7" s="36" t="s">
        <v>35</v>
      </c>
      <c r="B7" s="2"/>
      <c r="C7" s="37"/>
      <c r="D7" s="37"/>
      <c r="E7" s="37"/>
      <c r="F7" s="37"/>
      <c r="G7" s="43"/>
    </row>
    <row r="8" spans="1:7" x14ac:dyDescent="0.25">
      <c r="A8" s="36" t="s">
        <v>36</v>
      </c>
      <c r="B8" s="2"/>
      <c r="C8" s="37"/>
      <c r="D8" s="37"/>
      <c r="E8" s="37"/>
      <c r="F8" s="37"/>
      <c r="G8" s="43"/>
    </row>
    <row r="9" spans="1:7" x14ac:dyDescent="0.25">
      <c r="A9" s="36" t="s">
        <v>37</v>
      </c>
      <c r="B9" s="2"/>
      <c r="C9" s="37"/>
      <c r="D9" s="37"/>
      <c r="E9" s="37"/>
      <c r="F9" s="37"/>
      <c r="G9" s="43"/>
    </row>
    <row r="10" spans="1:7" x14ac:dyDescent="0.25">
      <c r="A10" s="36" t="s">
        <v>38</v>
      </c>
      <c r="B10" s="2"/>
      <c r="C10" s="37"/>
      <c r="D10" s="37"/>
      <c r="E10" s="37"/>
      <c r="F10" s="37"/>
      <c r="G10" s="43"/>
    </row>
    <row r="11" spans="1:7" x14ac:dyDescent="0.25">
      <c r="A11" s="36" t="s">
        <v>25</v>
      </c>
      <c r="B11" s="2"/>
      <c r="C11" s="37"/>
      <c r="D11" s="37"/>
      <c r="E11" s="37"/>
      <c r="F11" s="37"/>
      <c r="G11" s="43"/>
    </row>
    <row r="12" spans="1:7" x14ac:dyDescent="0.25">
      <c r="A12" s="36" t="s">
        <v>39</v>
      </c>
      <c r="B12" s="2"/>
      <c r="C12" s="37"/>
      <c r="D12" s="37"/>
      <c r="E12" s="37"/>
      <c r="F12" s="37"/>
      <c r="G12" s="43"/>
    </row>
    <row r="13" spans="1:7" x14ac:dyDescent="0.25">
      <c r="A13" s="39" t="s">
        <v>40</v>
      </c>
      <c r="B13" s="44"/>
      <c r="C13" s="40"/>
      <c r="D13" s="40"/>
      <c r="E13" s="40"/>
      <c r="F13" s="40"/>
      <c r="G13" s="4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C869-282C-4C60-88D4-560664883503}">
  <dimension ref="A1:F28"/>
  <sheetViews>
    <sheetView workbookViewId="0">
      <selection activeCell="H20" sqref="H20"/>
    </sheetView>
  </sheetViews>
  <sheetFormatPr defaultRowHeight="15" x14ac:dyDescent="0.25"/>
  <cols>
    <col min="1" max="1" width="20.7109375" bestFit="1" customWidth="1"/>
    <col min="3" max="3" width="21.28515625" customWidth="1"/>
    <col min="4" max="4" width="11.140625" bestFit="1" customWidth="1"/>
    <col min="5" max="5" width="3.7109375" bestFit="1" customWidth="1"/>
    <col min="6" max="6" width="19.42578125" bestFit="1" customWidth="1"/>
  </cols>
  <sheetData>
    <row r="1" spans="1:6" x14ac:dyDescent="0.25">
      <c r="A1" s="21" t="s">
        <v>106</v>
      </c>
      <c r="B1" s="24" t="s">
        <v>2</v>
      </c>
      <c r="F1" s="56" t="s">
        <v>116</v>
      </c>
    </row>
    <row r="2" spans="1:6" x14ac:dyDescent="0.25">
      <c r="A2" s="25" t="s">
        <v>107</v>
      </c>
      <c r="B2" s="64"/>
      <c r="F2" s="56"/>
    </row>
    <row r="3" spans="1:6" x14ac:dyDescent="0.25">
      <c r="A3" s="25" t="s">
        <v>93</v>
      </c>
      <c r="B3" s="64"/>
      <c r="D3" s="51"/>
      <c r="E3" s="53"/>
      <c r="F3" s="57" t="s">
        <v>117</v>
      </c>
    </row>
    <row r="4" spans="1:6" x14ac:dyDescent="0.25">
      <c r="A4" s="25" t="s">
        <v>108</v>
      </c>
      <c r="B4" s="64"/>
      <c r="D4" s="51"/>
      <c r="E4" s="53"/>
      <c r="F4" s="57"/>
    </row>
    <row r="5" spans="1:6" x14ac:dyDescent="0.25">
      <c r="A5" s="25" t="s">
        <v>94</v>
      </c>
      <c r="B5" s="64"/>
      <c r="D5" s="51"/>
      <c r="E5" s="53"/>
      <c r="F5" s="57" t="s">
        <v>118</v>
      </c>
    </row>
    <row r="6" spans="1:6" x14ac:dyDescent="0.25">
      <c r="A6" s="25" t="s">
        <v>96</v>
      </c>
      <c r="B6" s="64"/>
      <c r="D6" s="51"/>
      <c r="E6" s="53"/>
      <c r="F6" s="52"/>
    </row>
    <row r="7" spans="1:6" x14ac:dyDescent="0.25">
      <c r="A7" s="25" t="s">
        <v>109</v>
      </c>
      <c r="B7" s="64">
        <v>10</v>
      </c>
      <c r="F7" s="58" t="s">
        <v>119</v>
      </c>
    </row>
    <row r="8" spans="1:6" x14ac:dyDescent="0.25">
      <c r="A8" s="25" t="s">
        <v>110</v>
      </c>
      <c r="B8" s="64"/>
      <c r="F8" s="58"/>
    </row>
    <row r="9" spans="1:6" x14ac:dyDescent="0.25">
      <c r="A9" s="25" t="s">
        <v>111</v>
      </c>
      <c r="B9" s="64"/>
      <c r="F9" s="58" t="s">
        <v>120</v>
      </c>
    </row>
    <row r="10" spans="1:6" x14ac:dyDescent="0.25">
      <c r="A10" s="29" t="s">
        <v>112</v>
      </c>
      <c r="B10" s="65"/>
      <c r="F10" s="58"/>
    </row>
    <row r="11" spans="1:6" x14ac:dyDescent="0.25">
      <c r="F11" s="58" t="s">
        <v>121</v>
      </c>
    </row>
    <row r="12" spans="1:6" x14ac:dyDescent="0.25">
      <c r="F12" s="58"/>
    </row>
    <row r="13" spans="1:6" x14ac:dyDescent="0.25">
      <c r="A13" s="21" t="s">
        <v>28</v>
      </c>
      <c r="B13" s="22" t="s">
        <v>84</v>
      </c>
      <c r="C13" s="24" t="s">
        <v>113</v>
      </c>
      <c r="F13" s="58" t="s">
        <v>122</v>
      </c>
    </row>
    <row r="14" spans="1:6" x14ac:dyDescent="0.25">
      <c r="A14" s="61"/>
      <c r="B14" s="72"/>
      <c r="C14" s="73">
        <f>Tabela13[[#This Row],[g/L]]*$B$7</f>
        <v>0</v>
      </c>
      <c r="F14" s="56"/>
    </row>
    <row r="15" spans="1:6" x14ac:dyDescent="0.25">
      <c r="A15" s="62"/>
      <c r="B15" s="72"/>
      <c r="C15" s="73">
        <f>Tabela13[[#This Row],[g/L]]*$B$7</f>
        <v>0</v>
      </c>
      <c r="F15" s="56" t="s">
        <v>116</v>
      </c>
    </row>
    <row r="16" spans="1:6" x14ac:dyDescent="0.25">
      <c r="A16" s="62"/>
      <c r="B16" s="72"/>
      <c r="C16" s="73">
        <f>Tabela13[[#This Row],[g/L]]*$B$7</f>
        <v>0</v>
      </c>
    </row>
    <row r="17" spans="1:3" x14ac:dyDescent="0.25">
      <c r="A17" s="62"/>
      <c r="B17" s="72"/>
      <c r="C17" s="73">
        <f>Tabela13[[#This Row],[g/L]]*$B$7</f>
        <v>0</v>
      </c>
    </row>
    <row r="18" spans="1:3" x14ac:dyDescent="0.25">
      <c r="A18" s="62"/>
      <c r="B18" s="72"/>
      <c r="C18" s="73">
        <f>Tabela13[[#This Row],[g/L]]*$B$7</f>
        <v>0</v>
      </c>
    </row>
    <row r="19" spans="1:3" x14ac:dyDescent="0.25">
      <c r="A19" s="62"/>
      <c r="B19" s="72"/>
      <c r="C19" s="73">
        <f>Tabela13[[#This Row],[g/L]]*$B$7</f>
        <v>0</v>
      </c>
    </row>
    <row r="20" spans="1:3" x14ac:dyDescent="0.25">
      <c r="A20" s="62"/>
      <c r="B20" s="72"/>
      <c r="C20" s="73">
        <f>Tabela13[[#This Row],[g/L]]*$B$7</f>
        <v>0</v>
      </c>
    </row>
    <row r="21" spans="1:3" x14ac:dyDescent="0.25">
      <c r="A21" s="62"/>
      <c r="B21" s="72"/>
      <c r="C21" s="73">
        <f>Tabela13[[#This Row],[g/L]]*$B$7</f>
        <v>0</v>
      </c>
    </row>
    <row r="22" spans="1:3" x14ac:dyDescent="0.25">
      <c r="A22" s="62"/>
      <c r="B22" s="72"/>
      <c r="C22" s="73">
        <f>Tabela13[[#This Row],[g/L]]*$B$7</f>
        <v>0</v>
      </c>
    </row>
    <row r="23" spans="1:3" x14ac:dyDescent="0.25">
      <c r="A23" s="62"/>
      <c r="B23" s="72"/>
      <c r="C23" s="73">
        <f>Tabela13[[#This Row],[g/L]]*$B$7</f>
        <v>0</v>
      </c>
    </row>
    <row r="24" spans="1:3" x14ac:dyDescent="0.25">
      <c r="A24" s="62"/>
      <c r="B24" s="72"/>
      <c r="C24" s="73">
        <f>Tabela13[[#This Row],[g/L]]*$B$7</f>
        <v>0</v>
      </c>
    </row>
    <row r="25" spans="1:3" x14ac:dyDescent="0.25">
      <c r="A25" s="62"/>
      <c r="B25" s="72"/>
      <c r="C25" s="73">
        <f>Tabela13[[#This Row],[g/L]]*$B$7</f>
        <v>0</v>
      </c>
    </row>
    <row r="26" spans="1:3" x14ac:dyDescent="0.25">
      <c r="A26" s="62"/>
      <c r="B26" s="72"/>
      <c r="C26" s="73">
        <f>Tabela13[[#This Row],[g/L]]*$B$7</f>
        <v>0</v>
      </c>
    </row>
    <row r="27" spans="1:3" x14ac:dyDescent="0.25">
      <c r="A27" s="63"/>
      <c r="B27" s="74"/>
      <c r="C27" s="75">
        <f>Tabela13[[#This Row],[g/L]]*$B$7</f>
        <v>0</v>
      </c>
    </row>
    <row r="28" spans="1:3" x14ac:dyDescent="0.25">
      <c r="A28" s="63"/>
      <c r="B28" s="74"/>
      <c r="C28" s="76">
        <f>Tabela13[[#This Row],[g/L]]*$B$7</f>
        <v>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D27453-F126-4274-B05E-52015DBEDC47}">
          <x14:formula1>
            <xm:f>Fertilizante!$B$2:$B$7</xm:f>
          </x14:formula1>
          <xm:sqref>A14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1840-C63C-42B6-8105-007C88EE42FE}">
  <dimension ref="A1:AC32"/>
  <sheetViews>
    <sheetView workbookViewId="0">
      <selection activeCell="A2" sqref="A2"/>
    </sheetView>
  </sheetViews>
  <sheetFormatPr defaultRowHeight="15" x14ac:dyDescent="0.25"/>
  <cols>
    <col min="1" max="1" width="19.28515625" bestFit="1" customWidth="1"/>
    <col min="2" max="2" width="16.140625" bestFit="1" customWidth="1"/>
    <col min="3" max="3" width="15.28515625" bestFit="1" customWidth="1"/>
    <col min="15" max="15" width="10.85546875" bestFit="1" customWidth="1"/>
    <col min="16" max="16" width="14.140625" bestFit="1" customWidth="1"/>
    <col min="17" max="17" width="14.140625" customWidth="1"/>
    <col min="18" max="18" width="8.7109375" bestFit="1" customWidth="1"/>
    <col min="21" max="21" width="9.7109375" customWidth="1"/>
    <col min="22" max="22" width="10.42578125" customWidth="1"/>
    <col min="24" max="24" width="9.7109375" customWidth="1"/>
    <col min="25" max="25" width="10.5703125" customWidth="1"/>
    <col min="26" max="26" width="9.7109375" customWidth="1"/>
    <col min="28" max="28" width="9.85546875" customWidth="1"/>
    <col min="29" max="29" width="10.5703125" customWidth="1"/>
  </cols>
  <sheetData>
    <row r="1" spans="1:29" x14ac:dyDescent="0.25">
      <c r="A1" s="4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5</v>
      </c>
      <c r="G1" s="5" t="s">
        <v>6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25</v>
      </c>
      <c r="M1" s="5" t="s">
        <v>39</v>
      </c>
      <c r="N1" s="5" t="s">
        <v>40</v>
      </c>
      <c r="O1" s="5" t="s">
        <v>125</v>
      </c>
      <c r="P1" s="5" t="s">
        <v>126</v>
      </c>
      <c r="Q1" s="5" t="s">
        <v>73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6" t="s">
        <v>52</v>
      </c>
    </row>
    <row r="2" spans="1:29" x14ac:dyDescent="0.25">
      <c r="A2" s="66">
        <f>Formulação!A14</f>
        <v>0</v>
      </c>
      <c r="B2" s="67">
        <f>Formulação!B14</f>
        <v>0</v>
      </c>
      <c r="C2" s="10">
        <f>IFERROR(_xlfn.XLOOKUP(A2,tbFertilizantes[Produto],tbFertilizantes[N]),0)</f>
        <v>0</v>
      </c>
      <c r="D2" s="10">
        <f>_xlfn.XLOOKUP(A2,tbFertilizantes[Produto],tbFertilizantes[P],0)</f>
        <v>0</v>
      </c>
      <c r="E2" s="10">
        <f>_xlfn.XLOOKUP(A2,tbFertilizantes[Produto],tbFertilizantes[K],0)</f>
        <v>0</v>
      </c>
      <c r="F2" s="10">
        <f>_xlfn.XLOOKUP(A2,tbFertilizantes[Produto],tbFertilizantes[Ca],0)</f>
        <v>0</v>
      </c>
      <c r="G2" s="10">
        <f>_xlfn.XLOOKUP(A2,tbFertilizantes[Produto],tbFertilizantes[Mg],0)</f>
        <v>0</v>
      </c>
      <c r="H2" s="10">
        <f>_xlfn.XLOOKUP(A2,tbFertilizantes[Produto],tbFertilizantes[S],0)</f>
        <v>0</v>
      </c>
      <c r="I2" s="10">
        <f>_xlfn.XLOOKUP(A2,tbFertilizantes[Produto],tbFertilizantes[Fe],0)</f>
        <v>0</v>
      </c>
      <c r="J2" s="10">
        <f>_xlfn.XLOOKUP(A2,tbFertilizantes[Produto],tbFertilizantes[Zn],0)</f>
        <v>0</v>
      </c>
      <c r="K2" s="10">
        <f>_xlfn.XLOOKUP(A2,tbFertilizantes[Produto],tbFertilizantes[Zn],0)</f>
        <v>0</v>
      </c>
      <c r="L2" s="10">
        <f>_xlfn.XLOOKUP(A2,tbFertilizantes[Produto],tbFertilizantes[B],0)</f>
        <v>0</v>
      </c>
      <c r="M2" s="10">
        <f>_xlfn.XLOOKUP(A2,tbFertilizantes[Produto],tbFertilizantes[Cu],0)</f>
        <v>0</v>
      </c>
      <c r="N2" s="10">
        <f>_xlfn.XLOOKUP(A2,tbFertilizantes[Produto],tbFertilizantes[Mo],0)</f>
        <v>0</v>
      </c>
      <c r="O2" s="10"/>
      <c r="P2" s="10"/>
      <c r="Q2" s="10" t="str">
        <f t="shared" ref="Q2:Q16" si="0">IF(COUNTA(A2:A16)&gt;0,"✅ Calculando","⚪ Sem dados")</f>
        <v>✅ Calculando</v>
      </c>
      <c r="R2" s="10">
        <f>tbCore[[#This Row],[ g/L]]*tbCore[[#This Row],[N]]*10</f>
        <v>0</v>
      </c>
      <c r="S2" s="10">
        <f>tbCore[[#This Row],[ g/L]]*tbCore[[#This Row],[P]]*10</f>
        <v>0</v>
      </c>
      <c r="T2" s="10">
        <f>tbCore[[#This Row],[ g/L]]*tbCore[[#This Row],[K]]*10</f>
        <v>0</v>
      </c>
      <c r="U2" s="10">
        <f>tbCore[[#This Row],[ g/L]]*tbCore[[#This Row],[Ca]]*10</f>
        <v>0</v>
      </c>
      <c r="V2" s="10">
        <f>tbCore[[#This Row],[ g/L]]*tbCore[[#This Row],[Mg]]*10</f>
        <v>0</v>
      </c>
      <c r="W2" s="10">
        <f>tbCore[[#This Row],[ g/L]]*tbCore[[#This Row],[S]]*10</f>
        <v>0</v>
      </c>
      <c r="X2" s="10">
        <f>tbCore[[#This Row],[ g/L]]*tbCore[[#This Row],[Fe]]*10</f>
        <v>0</v>
      </c>
      <c r="Y2" s="10">
        <f>tbCore[[#This Row],[ g/L]]*tbCore[[#This Row],[Mn]]*10</f>
        <v>0</v>
      </c>
      <c r="Z2" s="10">
        <f>tbCore[[#This Row],[ g/L]]*tbCore[[#This Row],[Zn]]*10</f>
        <v>0</v>
      </c>
      <c r="AA2" s="10">
        <f>tbCore[[#This Row],[ g/L]]*tbCore[[#This Row],[B]]*10</f>
        <v>0</v>
      </c>
      <c r="AB2" s="10">
        <f>tbCore[[#This Row],[ g/L]]*tbCore[[#This Row],[Cu]]*10</f>
        <v>0</v>
      </c>
      <c r="AC2" s="11">
        <f>tbCore[[#This Row],[ g/L]]*tbCore[[#This Row],[Mo]]*10</f>
        <v>0</v>
      </c>
    </row>
    <row r="3" spans="1:29" x14ac:dyDescent="0.25">
      <c r="A3" s="66">
        <f>Formulação!A15</f>
        <v>0</v>
      </c>
      <c r="B3" s="67">
        <f>Formulação!B15</f>
        <v>0</v>
      </c>
      <c r="C3" s="10">
        <f>IFERROR(_xlfn.XLOOKUP(A3,tbFertilizantes[Produto],tbFertilizantes[N]),0)</f>
        <v>0</v>
      </c>
      <c r="D3" s="10">
        <f>_xlfn.XLOOKUP(A3,tbFertilizantes[Produto],tbFertilizantes[P],0)</f>
        <v>0</v>
      </c>
      <c r="E3" s="10">
        <f>_xlfn.XLOOKUP(A3,tbFertilizantes[Produto],tbFertilizantes[K],0)</f>
        <v>0</v>
      </c>
      <c r="F3" s="10">
        <f>_xlfn.XLOOKUP(A3,tbFertilizantes[Produto],tbFertilizantes[Ca],0)</f>
        <v>0</v>
      </c>
      <c r="G3" s="10">
        <f>_xlfn.XLOOKUP(A3,tbFertilizantes[Produto],tbFertilizantes[Mg],0)</f>
        <v>0</v>
      </c>
      <c r="H3" s="10">
        <f>_xlfn.XLOOKUP(A3,tbFertilizantes[Produto],tbFertilizantes[S],0)</f>
        <v>0</v>
      </c>
      <c r="I3" s="10">
        <f>_xlfn.XLOOKUP(A3,tbFertilizantes[Produto],tbFertilizantes[Fe],0)</f>
        <v>0</v>
      </c>
      <c r="J3" s="10">
        <f>_xlfn.XLOOKUP(A3,tbFertilizantes[Produto],tbFertilizantes[Zn],0)</f>
        <v>0</v>
      </c>
      <c r="K3" s="10">
        <f>_xlfn.XLOOKUP(A3,tbFertilizantes[Produto],tbFertilizantes[Zn],0)</f>
        <v>0</v>
      </c>
      <c r="L3" s="10">
        <f>_xlfn.XLOOKUP(A3,tbFertilizantes[Produto],tbFertilizantes[B],0)</f>
        <v>0</v>
      </c>
      <c r="M3" s="10">
        <f>_xlfn.XLOOKUP(A3,tbFertilizantes[Produto],tbFertilizantes[Cu],0)</f>
        <v>0</v>
      </c>
      <c r="N3" s="10">
        <f>_xlfn.XLOOKUP(A3,tbFertilizantes[Produto],tbFertilizantes[Mo],0)</f>
        <v>0</v>
      </c>
      <c r="O3" s="10"/>
      <c r="P3" s="10"/>
      <c r="Q3" s="10" t="str">
        <f t="shared" si="0"/>
        <v>✅ Calculando</v>
      </c>
      <c r="R3" s="10">
        <f>tbCore[[#This Row],[ g/L]]*tbCore[[#This Row],[N]]*10</f>
        <v>0</v>
      </c>
      <c r="S3" s="10">
        <f>tbCore[[#This Row],[ g/L]]*tbCore[[#This Row],[P]]*10</f>
        <v>0</v>
      </c>
      <c r="T3" s="10">
        <f>tbCore[[#This Row],[ g/L]]*tbCore[[#This Row],[K]]*10</f>
        <v>0</v>
      </c>
      <c r="U3" s="10">
        <f>tbCore[[#This Row],[ g/L]]*tbCore[[#This Row],[Ca]]*10</f>
        <v>0</v>
      </c>
      <c r="V3" s="10">
        <f>tbCore[[#This Row],[ g/L]]*tbCore[[#This Row],[Mg]]*10</f>
        <v>0</v>
      </c>
      <c r="W3" s="10">
        <f>tbCore[[#This Row],[ g/L]]*tbCore[[#This Row],[S]]*10</f>
        <v>0</v>
      </c>
      <c r="X3" s="10">
        <f>tbCore[[#This Row],[ g/L]]*tbCore[[#This Row],[Fe]]*10</f>
        <v>0</v>
      </c>
      <c r="Y3" s="10">
        <f>tbCore[[#This Row],[ g/L]]*tbCore[[#This Row],[Mn]]*10</f>
        <v>0</v>
      </c>
      <c r="Z3" s="10">
        <f>tbCore[[#This Row],[ g/L]]*tbCore[[#This Row],[Zn]]*10</f>
        <v>0</v>
      </c>
      <c r="AA3" s="10">
        <f>tbCore[[#This Row],[ g/L]]*tbCore[[#This Row],[B]]*10</f>
        <v>0</v>
      </c>
      <c r="AB3" s="10">
        <f>tbCore[[#This Row],[ g/L]]*tbCore[[#This Row],[Cu]]*10</f>
        <v>0</v>
      </c>
      <c r="AC3" s="11">
        <f>tbCore[[#This Row],[ g/L]]*tbCore[[#This Row],[Mo]]*10</f>
        <v>0</v>
      </c>
    </row>
    <row r="4" spans="1:29" x14ac:dyDescent="0.25">
      <c r="A4" s="66">
        <f>Formulação!A16</f>
        <v>0</v>
      </c>
      <c r="B4" s="67">
        <f>Formulação!B16</f>
        <v>0</v>
      </c>
      <c r="C4" s="10">
        <f>IFERROR(_xlfn.XLOOKUP(A4,tbFertilizantes[Produto],tbFertilizantes[N]),0)</f>
        <v>0</v>
      </c>
      <c r="D4" s="10">
        <f>_xlfn.XLOOKUP(A4,tbFertilizantes[Produto],tbFertilizantes[P],0)</f>
        <v>0</v>
      </c>
      <c r="E4" s="10">
        <f>_xlfn.XLOOKUP(A4,tbFertilizantes[Produto],tbFertilizantes[K],0)</f>
        <v>0</v>
      </c>
      <c r="F4" s="10">
        <f>_xlfn.XLOOKUP(A4,tbFertilizantes[Produto],tbFertilizantes[Ca],0)</f>
        <v>0</v>
      </c>
      <c r="G4" s="10">
        <f>_xlfn.XLOOKUP(A4,tbFertilizantes[Produto],tbFertilizantes[Mg],0)</f>
        <v>0</v>
      </c>
      <c r="H4" s="10">
        <f>_xlfn.XLOOKUP(A4,tbFertilizantes[Produto],tbFertilizantes[S],0)</f>
        <v>0</v>
      </c>
      <c r="I4" s="10">
        <f>_xlfn.XLOOKUP(A4,tbFertilizantes[Produto],tbFertilizantes[Fe],0)</f>
        <v>0</v>
      </c>
      <c r="J4" s="10">
        <f>_xlfn.XLOOKUP(A4,tbFertilizantes[Produto],tbFertilizantes[Zn],0)</f>
        <v>0</v>
      </c>
      <c r="K4" s="10">
        <f>_xlfn.XLOOKUP(A4,tbFertilizantes[Produto],tbFertilizantes[Zn],0)</f>
        <v>0</v>
      </c>
      <c r="L4" s="10">
        <f>_xlfn.XLOOKUP(A4,tbFertilizantes[Produto],tbFertilizantes[B],0)</f>
        <v>0</v>
      </c>
      <c r="M4" s="10">
        <f>_xlfn.XLOOKUP(A4,tbFertilizantes[Produto],tbFertilizantes[Cu],0)</f>
        <v>0</v>
      </c>
      <c r="N4" s="10">
        <f>_xlfn.XLOOKUP(A4,tbFertilizantes[Produto],tbFertilizantes[Mo],0)</f>
        <v>0</v>
      </c>
      <c r="O4" s="10"/>
      <c r="P4" s="10"/>
      <c r="Q4" s="10" t="str">
        <f t="shared" si="0"/>
        <v>✅ Calculando</v>
      </c>
      <c r="R4" s="10">
        <f>tbCore[[#This Row],[ g/L]]*tbCore[[#This Row],[N]]*10</f>
        <v>0</v>
      </c>
      <c r="S4" s="10">
        <f>tbCore[[#This Row],[ g/L]]*tbCore[[#This Row],[P]]*10</f>
        <v>0</v>
      </c>
      <c r="T4" s="10">
        <f>tbCore[[#This Row],[ g/L]]*tbCore[[#This Row],[K]]*10</f>
        <v>0</v>
      </c>
      <c r="U4" s="10">
        <f>tbCore[[#This Row],[ g/L]]*tbCore[[#This Row],[Ca]]*10</f>
        <v>0</v>
      </c>
      <c r="V4" s="10">
        <f>tbCore[[#This Row],[ g/L]]*tbCore[[#This Row],[Mg]]*10</f>
        <v>0</v>
      </c>
      <c r="W4" s="10">
        <f>tbCore[[#This Row],[ g/L]]*tbCore[[#This Row],[S]]*10</f>
        <v>0</v>
      </c>
      <c r="X4" s="10">
        <f>tbCore[[#This Row],[ g/L]]*tbCore[[#This Row],[Fe]]*10</f>
        <v>0</v>
      </c>
      <c r="Y4" s="10">
        <f>tbCore[[#This Row],[ g/L]]*tbCore[[#This Row],[Mn]]*10</f>
        <v>0</v>
      </c>
      <c r="Z4" s="10">
        <f>tbCore[[#This Row],[ g/L]]*tbCore[[#This Row],[Zn]]*10</f>
        <v>0</v>
      </c>
      <c r="AA4" s="10">
        <f>tbCore[[#This Row],[ g/L]]*tbCore[[#This Row],[B]]*10</f>
        <v>0</v>
      </c>
      <c r="AB4" s="10">
        <f>tbCore[[#This Row],[ g/L]]*tbCore[[#This Row],[Cu]]*10</f>
        <v>0</v>
      </c>
      <c r="AC4" s="11">
        <f>tbCore[[#This Row],[ g/L]]*tbCore[[#This Row],[Mo]]*10</f>
        <v>0</v>
      </c>
    </row>
    <row r="5" spans="1:29" x14ac:dyDescent="0.25">
      <c r="A5" s="66">
        <f>Formulação!A17</f>
        <v>0</v>
      </c>
      <c r="B5" s="67">
        <f>Formulação!B17</f>
        <v>0</v>
      </c>
      <c r="C5" s="10">
        <f>IFERROR(_xlfn.XLOOKUP(A5,tbFertilizantes[Produto],tbFertilizantes[N]),0)</f>
        <v>0</v>
      </c>
      <c r="D5" s="10">
        <f>_xlfn.XLOOKUP(A5,tbFertilizantes[Produto],tbFertilizantes[P],0)</f>
        <v>0</v>
      </c>
      <c r="E5" s="10">
        <f>_xlfn.XLOOKUP(A5,tbFertilizantes[Produto],tbFertilizantes[K],0)</f>
        <v>0</v>
      </c>
      <c r="F5" s="10">
        <f>_xlfn.XLOOKUP(A5,tbFertilizantes[Produto],tbFertilizantes[Ca],0)</f>
        <v>0</v>
      </c>
      <c r="G5" s="10">
        <f>_xlfn.XLOOKUP(A5,tbFertilizantes[Produto],tbFertilizantes[Mg],0)</f>
        <v>0</v>
      </c>
      <c r="H5" s="10">
        <f>_xlfn.XLOOKUP(A5,tbFertilizantes[Produto],tbFertilizantes[S],0)</f>
        <v>0</v>
      </c>
      <c r="I5" s="10">
        <f>_xlfn.XLOOKUP(A5,tbFertilizantes[Produto],tbFertilizantes[Fe],0)</f>
        <v>0</v>
      </c>
      <c r="J5" s="10">
        <f>_xlfn.XLOOKUP(A5,tbFertilizantes[Produto],tbFertilizantes[Zn],0)</f>
        <v>0</v>
      </c>
      <c r="K5" s="10">
        <f>_xlfn.XLOOKUP(A5,tbFertilizantes[Produto],tbFertilizantes[Zn],0)</f>
        <v>0</v>
      </c>
      <c r="L5" s="10">
        <f>_xlfn.XLOOKUP(A5,tbFertilizantes[Produto],tbFertilizantes[B],0)</f>
        <v>0</v>
      </c>
      <c r="M5" s="10">
        <f>_xlfn.XLOOKUP(A5,tbFertilizantes[Produto],tbFertilizantes[Cu],0)</f>
        <v>0</v>
      </c>
      <c r="N5" s="10">
        <f>_xlfn.XLOOKUP(A5,tbFertilizantes[Produto],tbFertilizantes[Mo],0)</f>
        <v>0</v>
      </c>
      <c r="O5" s="10"/>
      <c r="P5" s="10"/>
      <c r="Q5" s="10" t="str">
        <f t="shared" si="0"/>
        <v>✅ Calculando</v>
      </c>
      <c r="R5" s="10">
        <f>tbCore[[#This Row],[ g/L]]*tbCore[[#This Row],[N]]*10</f>
        <v>0</v>
      </c>
      <c r="S5" s="10">
        <f>tbCore[[#This Row],[ g/L]]*tbCore[[#This Row],[P]]*10</f>
        <v>0</v>
      </c>
      <c r="T5" s="10">
        <f>tbCore[[#This Row],[ g/L]]*tbCore[[#This Row],[K]]*10</f>
        <v>0</v>
      </c>
      <c r="U5" s="10">
        <f>tbCore[[#This Row],[ g/L]]*tbCore[[#This Row],[Ca]]*10</f>
        <v>0</v>
      </c>
      <c r="V5" s="10">
        <f>tbCore[[#This Row],[ g/L]]*tbCore[[#This Row],[Mg]]*10</f>
        <v>0</v>
      </c>
      <c r="W5" s="10">
        <f>tbCore[[#This Row],[ g/L]]*tbCore[[#This Row],[S]]*10</f>
        <v>0</v>
      </c>
      <c r="X5" s="10">
        <f>tbCore[[#This Row],[ g/L]]*tbCore[[#This Row],[Fe]]*10</f>
        <v>0</v>
      </c>
      <c r="Y5" s="10">
        <f>tbCore[[#This Row],[ g/L]]*tbCore[[#This Row],[Mn]]*10</f>
        <v>0</v>
      </c>
      <c r="Z5" s="10">
        <f>tbCore[[#This Row],[ g/L]]*tbCore[[#This Row],[Zn]]*10</f>
        <v>0</v>
      </c>
      <c r="AA5" s="10">
        <f>tbCore[[#This Row],[ g/L]]*tbCore[[#This Row],[B]]*10</f>
        <v>0</v>
      </c>
      <c r="AB5" s="10">
        <f>tbCore[[#This Row],[ g/L]]*tbCore[[#This Row],[Cu]]*10</f>
        <v>0</v>
      </c>
      <c r="AC5" s="11">
        <f>tbCore[[#This Row],[ g/L]]*tbCore[[#This Row],[Mo]]*10</f>
        <v>0</v>
      </c>
    </row>
    <row r="6" spans="1:29" x14ac:dyDescent="0.25">
      <c r="A6" s="66">
        <f>Formulação!A18</f>
        <v>0</v>
      </c>
      <c r="B6" s="67">
        <f>Formulação!B18</f>
        <v>0</v>
      </c>
      <c r="C6" s="10">
        <f>IFERROR(_xlfn.XLOOKUP(A6,tbFertilizantes[Produto],tbFertilizantes[N]),0)</f>
        <v>0</v>
      </c>
      <c r="D6" s="10">
        <f>_xlfn.XLOOKUP(A6,tbFertilizantes[Produto],tbFertilizantes[P],0)</f>
        <v>0</v>
      </c>
      <c r="E6" s="10">
        <f>_xlfn.XLOOKUP(A6,tbFertilizantes[Produto],tbFertilizantes[K],0)</f>
        <v>0</v>
      </c>
      <c r="F6" s="10">
        <f>_xlfn.XLOOKUP(A6,tbFertilizantes[Produto],tbFertilizantes[Ca],0)</f>
        <v>0</v>
      </c>
      <c r="G6" s="10">
        <f>_xlfn.XLOOKUP(A6,tbFertilizantes[Produto],tbFertilizantes[Mg],0)</f>
        <v>0</v>
      </c>
      <c r="H6" s="10">
        <f>_xlfn.XLOOKUP(A6,tbFertilizantes[Produto],tbFertilizantes[S],0)</f>
        <v>0</v>
      </c>
      <c r="I6" s="10">
        <f>_xlfn.XLOOKUP(A6,tbFertilizantes[Produto],tbFertilizantes[Fe],0)</f>
        <v>0</v>
      </c>
      <c r="J6" s="10">
        <f>_xlfn.XLOOKUP(A6,tbFertilizantes[Produto],tbFertilizantes[Zn],0)</f>
        <v>0</v>
      </c>
      <c r="K6" s="10">
        <f>_xlfn.XLOOKUP(A6,tbFertilizantes[Produto],tbFertilizantes[Zn],0)</f>
        <v>0</v>
      </c>
      <c r="L6" s="10">
        <f>_xlfn.XLOOKUP(A6,tbFertilizantes[Produto],tbFertilizantes[B],0)</f>
        <v>0</v>
      </c>
      <c r="M6" s="10">
        <f>_xlfn.XLOOKUP(A6,tbFertilizantes[Produto],tbFertilizantes[Cu],0)</f>
        <v>0</v>
      </c>
      <c r="N6" s="10">
        <f>_xlfn.XLOOKUP(A6,tbFertilizantes[Produto],tbFertilizantes[Mo],0)</f>
        <v>0</v>
      </c>
      <c r="O6" s="10"/>
      <c r="P6" s="10"/>
      <c r="Q6" s="10" t="str">
        <f t="shared" si="0"/>
        <v>✅ Calculando</v>
      </c>
      <c r="R6" s="10">
        <f>tbCore[[#This Row],[ g/L]]*tbCore[[#This Row],[N]]*10</f>
        <v>0</v>
      </c>
      <c r="S6" s="10">
        <f>tbCore[[#This Row],[ g/L]]*tbCore[[#This Row],[P]]*10</f>
        <v>0</v>
      </c>
      <c r="T6" s="10">
        <f>tbCore[[#This Row],[ g/L]]*tbCore[[#This Row],[K]]*10</f>
        <v>0</v>
      </c>
      <c r="U6" s="10">
        <f>tbCore[[#This Row],[ g/L]]*tbCore[[#This Row],[Ca]]*10</f>
        <v>0</v>
      </c>
      <c r="V6" s="10">
        <f>tbCore[[#This Row],[ g/L]]*tbCore[[#This Row],[Mg]]*10</f>
        <v>0</v>
      </c>
      <c r="W6" s="10">
        <f>tbCore[[#This Row],[ g/L]]*tbCore[[#This Row],[S]]*10</f>
        <v>0</v>
      </c>
      <c r="X6" s="10">
        <f>tbCore[[#This Row],[ g/L]]*tbCore[[#This Row],[Fe]]*10</f>
        <v>0</v>
      </c>
      <c r="Y6" s="10">
        <f>tbCore[[#This Row],[ g/L]]*tbCore[[#This Row],[Mn]]*10</f>
        <v>0</v>
      </c>
      <c r="Z6" s="10">
        <f>tbCore[[#This Row],[ g/L]]*tbCore[[#This Row],[Zn]]*10</f>
        <v>0</v>
      </c>
      <c r="AA6" s="10">
        <f>tbCore[[#This Row],[ g/L]]*tbCore[[#This Row],[B]]*10</f>
        <v>0</v>
      </c>
      <c r="AB6" s="10">
        <f>tbCore[[#This Row],[ g/L]]*tbCore[[#This Row],[Cu]]*10</f>
        <v>0</v>
      </c>
      <c r="AC6" s="11">
        <f>tbCore[[#This Row],[ g/L]]*tbCore[[#This Row],[Mo]]*10</f>
        <v>0</v>
      </c>
    </row>
    <row r="7" spans="1:29" x14ac:dyDescent="0.25">
      <c r="A7" s="68">
        <f>Formulação!A19</f>
        <v>0</v>
      </c>
      <c r="B7" s="69">
        <f>Formulação!B19</f>
        <v>0</v>
      </c>
      <c r="C7" s="12">
        <f>IFERROR(_xlfn.XLOOKUP(A7,tbFertilizantes[Produto],tbFertilizantes[N]),0)</f>
        <v>0</v>
      </c>
      <c r="D7" s="12">
        <f>_xlfn.XLOOKUP(A7,tbFertilizantes[Produto],tbFertilizantes[P],0)</f>
        <v>0</v>
      </c>
      <c r="E7" s="12">
        <f>_xlfn.XLOOKUP(A7,tbFertilizantes[Produto],tbFertilizantes[K],0)</f>
        <v>0</v>
      </c>
      <c r="F7" s="12">
        <f>_xlfn.XLOOKUP(A7,tbFertilizantes[Produto],tbFertilizantes[Ca],0)</f>
        <v>0</v>
      </c>
      <c r="G7" s="12">
        <f>_xlfn.XLOOKUP(A7,tbFertilizantes[Produto],tbFertilizantes[Mg],0)</f>
        <v>0</v>
      </c>
      <c r="H7" s="12">
        <f>_xlfn.XLOOKUP(A7,tbFertilizantes[Produto],tbFertilizantes[S],0)</f>
        <v>0</v>
      </c>
      <c r="I7" s="12">
        <f>_xlfn.XLOOKUP(A7,tbFertilizantes[Produto],tbFertilizantes[Fe],0)</f>
        <v>0</v>
      </c>
      <c r="J7" s="12">
        <f>_xlfn.XLOOKUP(A7,tbFertilizantes[Produto],tbFertilizantes[Zn],0)</f>
        <v>0</v>
      </c>
      <c r="K7" s="12">
        <f>_xlfn.XLOOKUP(A7,tbFertilizantes[Produto],tbFertilizantes[Zn],0)</f>
        <v>0</v>
      </c>
      <c r="L7" s="12">
        <f>_xlfn.XLOOKUP(A7,tbFertilizantes[Produto],tbFertilizantes[B],0)</f>
        <v>0</v>
      </c>
      <c r="M7" s="12">
        <f>_xlfn.XLOOKUP(A7,tbFertilizantes[Produto],tbFertilizantes[Cu],0)</f>
        <v>0</v>
      </c>
      <c r="N7" s="12">
        <f>_xlfn.XLOOKUP(A7,tbFertilizantes[Produto],tbFertilizantes[Mo],0)</f>
        <v>0</v>
      </c>
      <c r="O7" s="12"/>
      <c r="P7" s="12"/>
      <c r="Q7" s="12" t="str">
        <f t="shared" si="0"/>
        <v>✅ Calculando</v>
      </c>
      <c r="R7" s="12">
        <f>tbCore[[#This Row],[ g/L]]*tbCore[[#This Row],[N]]*10</f>
        <v>0</v>
      </c>
      <c r="S7" s="12">
        <f>tbCore[[#This Row],[ g/L]]*tbCore[[#This Row],[P]]*10</f>
        <v>0</v>
      </c>
      <c r="T7" s="12">
        <f>tbCore[[#This Row],[ g/L]]*tbCore[[#This Row],[K]]*10</f>
        <v>0</v>
      </c>
      <c r="U7" s="12">
        <f>tbCore[[#This Row],[ g/L]]*tbCore[[#This Row],[Ca]]*10</f>
        <v>0</v>
      </c>
      <c r="V7" s="12">
        <f>tbCore[[#This Row],[ g/L]]*tbCore[[#This Row],[Mg]]*10</f>
        <v>0</v>
      </c>
      <c r="W7" s="12">
        <f>tbCore[[#This Row],[ g/L]]*tbCore[[#This Row],[S]]*10</f>
        <v>0</v>
      </c>
      <c r="X7" s="12">
        <f>tbCore[[#This Row],[ g/L]]*tbCore[[#This Row],[Fe]]*10</f>
        <v>0</v>
      </c>
      <c r="Y7" s="12">
        <f>tbCore[[#This Row],[ g/L]]*tbCore[[#This Row],[Mn]]*10</f>
        <v>0</v>
      </c>
      <c r="Z7" s="12">
        <f>tbCore[[#This Row],[ g/L]]*tbCore[[#This Row],[Zn]]*10</f>
        <v>0</v>
      </c>
      <c r="AA7" s="12">
        <f>tbCore[[#This Row],[ g/L]]*tbCore[[#This Row],[B]]*10</f>
        <v>0</v>
      </c>
      <c r="AB7" s="12">
        <f>tbCore[[#This Row],[ g/L]]*tbCore[[#This Row],[Cu]]*10</f>
        <v>0</v>
      </c>
      <c r="AC7" s="13">
        <f>tbCore[[#This Row],[ g/L]]*tbCore[[#This Row],[Mo]]*10</f>
        <v>0</v>
      </c>
    </row>
    <row r="8" spans="1:29" x14ac:dyDescent="0.25">
      <c r="A8" s="70">
        <f>Formulação!A20</f>
        <v>0</v>
      </c>
      <c r="B8" s="71">
        <f>Formulação!B20</f>
        <v>0</v>
      </c>
      <c r="C8" s="59">
        <f>IFERROR(_xlfn.XLOOKUP(A8,tbFertilizantes[Produto],tbFertilizantes[N]),0)</f>
        <v>0</v>
      </c>
      <c r="D8" s="59">
        <f>_xlfn.XLOOKUP(A8,tbFertilizantes[Produto],tbFertilizantes[P],0)</f>
        <v>0</v>
      </c>
      <c r="E8" s="59">
        <f>_xlfn.XLOOKUP(A8,tbFertilizantes[Produto],tbFertilizantes[K],0)</f>
        <v>0</v>
      </c>
      <c r="F8" s="59">
        <f>_xlfn.XLOOKUP(A8,tbFertilizantes[Produto],tbFertilizantes[Ca],0)</f>
        <v>0</v>
      </c>
      <c r="G8" s="59">
        <f>_xlfn.XLOOKUP(A8,tbFertilizantes[Produto],tbFertilizantes[Mg],0)</f>
        <v>0</v>
      </c>
      <c r="H8" s="59">
        <f>_xlfn.XLOOKUP(A8,tbFertilizantes[Produto],tbFertilizantes[S],0)</f>
        <v>0</v>
      </c>
      <c r="I8" s="59">
        <f>_xlfn.XLOOKUP(A8,tbFertilizantes[Produto],tbFertilizantes[Fe],0)</f>
        <v>0</v>
      </c>
      <c r="J8" s="59">
        <f>_xlfn.XLOOKUP(A8,tbFertilizantes[Produto],tbFertilizantes[Zn],0)</f>
        <v>0</v>
      </c>
      <c r="K8" s="59">
        <f>_xlfn.XLOOKUP(A8,tbFertilizantes[Produto],tbFertilizantes[Zn],0)</f>
        <v>0</v>
      </c>
      <c r="L8" s="59">
        <f>_xlfn.XLOOKUP(A8,tbFertilizantes[Produto],tbFertilizantes[B],0)</f>
        <v>0</v>
      </c>
      <c r="M8" s="59">
        <f>_xlfn.XLOOKUP(A8,tbFertilizantes[Produto],tbFertilizantes[Cu],0)</f>
        <v>0</v>
      </c>
      <c r="N8" s="59">
        <f>_xlfn.XLOOKUP(A8,tbFertilizantes[Produto],tbFertilizantes[Mo],0)</f>
        <v>0</v>
      </c>
      <c r="O8" s="12"/>
      <c r="P8" s="12"/>
      <c r="Q8" s="12" t="str">
        <f t="shared" si="0"/>
        <v>✅ Calculando</v>
      </c>
      <c r="R8" s="59">
        <f>tbCore[[#This Row],[ g/L]]*tbCore[[#This Row],[N]]*10</f>
        <v>0</v>
      </c>
      <c r="S8" s="59">
        <f>tbCore[[#This Row],[ g/L]]*tbCore[[#This Row],[P]]*10</f>
        <v>0</v>
      </c>
      <c r="T8" s="59">
        <f>tbCore[[#This Row],[ g/L]]*tbCore[[#This Row],[K]]*10</f>
        <v>0</v>
      </c>
      <c r="U8" s="59">
        <f>tbCore[[#This Row],[ g/L]]*tbCore[[#This Row],[Ca]]*10</f>
        <v>0</v>
      </c>
      <c r="V8" s="59">
        <f>tbCore[[#This Row],[ g/L]]*tbCore[[#This Row],[Mg]]*10</f>
        <v>0</v>
      </c>
      <c r="W8" s="59">
        <f>tbCore[[#This Row],[ g/L]]*tbCore[[#This Row],[S]]*10</f>
        <v>0</v>
      </c>
      <c r="X8" s="59">
        <f>tbCore[[#This Row],[ g/L]]*tbCore[[#This Row],[Fe]]*10</f>
        <v>0</v>
      </c>
      <c r="Y8" s="59">
        <f>tbCore[[#This Row],[ g/L]]*tbCore[[#This Row],[Mn]]*10</f>
        <v>0</v>
      </c>
      <c r="Z8" s="59">
        <f>tbCore[[#This Row],[ g/L]]*tbCore[[#This Row],[Zn]]*10</f>
        <v>0</v>
      </c>
      <c r="AA8" s="59">
        <f>tbCore[[#This Row],[ g/L]]*tbCore[[#This Row],[B]]*10</f>
        <v>0</v>
      </c>
      <c r="AB8" s="59">
        <f>tbCore[[#This Row],[ g/L]]*tbCore[[#This Row],[Cu]]*10</f>
        <v>0</v>
      </c>
      <c r="AC8" s="60">
        <f>tbCore[[#This Row],[ g/L]]*tbCore[[#This Row],[Mo]]*10</f>
        <v>0</v>
      </c>
    </row>
    <row r="9" spans="1:29" x14ac:dyDescent="0.25">
      <c r="A9" s="70">
        <f>Formulação!A21</f>
        <v>0</v>
      </c>
      <c r="B9" s="71">
        <f>Formulação!B21</f>
        <v>0</v>
      </c>
      <c r="C9" s="59">
        <f>IFERROR(_xlfn.XLOOKUP(A9,tbFertilizantes[Produto],tbFertilizantes[N]),0)</f>
        <v>0</v>
      </c>
      <c r="D9" s="59">
        <f>_xlfn.XLOOKUP(A9,tbFertilizantes[Produto],tbFertilizantes[P],0)</f>
        <v>0</v>
      </c>
      <c r="E9" s="59">
        <f>_xlfn.XLOOKUP(A9,tbFertilizantes[Produto],tbFertilizantes[K],0)</f>
        <v>0</v>
      </c>
      <c r="F9" s="59">
        <f>_xlfn.XLOOKUP(A9,tbFertilizantes[Produto],tbFertilizantes[Ca],0)</f>
        <v>0</v>
      </c>
      <c r="G9" s="59">
        <f>_xlfn.XLOOKUP(A9,tbFertilizantes[Produto],tbFertilizantes[Mg],0)</f>
        <v>0</v>
      </c>
      <c r="H9" s="59">
        <f>_xlfn.XLOOKUP(A9,tbFertilizantes[Produto],tbFertilizantes[S],0)</f>
        <v>0</v>
      </c>
      <c r="I9" s="59">
        <f>_xlfn.XLOOKUP(A9,tbFertilizantes[Produto],tbFertilizantes[Fe],0)</f>
        <v>0</v>
      </c>
      <c r="J9" s="59">
        <f>_xlfn.XLOOKUP(A9,tbFertilizantes[Produto],tbFertilizantes[Zn],0)</f>
        <v>0</v>
      </c>
      <c r="K9" s="59">
        <f>_xlfn.XLOOKUP(A9,tbFertilizantes[Produto],tbFertilizantes[Zn],0)</f>
        <v>0</v>
      </c>
      <c r="L9" s="59">
        <f>_xlfn.XLOOKUP(A9,tbFertilizantes[Produto],tbFertilizantes[B],0)</f>
        <v>0</v>
      </c>
      <c r="M9" s="59">
        <f>_xlfn.XLOOKUP(A9,tbFertilizantes[Produto],tbFertilizantes[Cu],0)</f>
        <v>0</v>
      </c>
      <c r="N9" s="59">
        <f>_xlfn.XLOOKUP(A9,tbFertilizantes[Produto],tbFertilizantes[Mo],0)</f>
        <v>0</v>
      </c>
      <c r="O9" s="12"/>
      <c r="P9" s="12"/>
      <c r="Q9" s="12" t="str">
        <f t="shared" si="0"/>
        <v>✅ Calculando</v>
      </c>
      <c r="R9" s="59">
        <f>tbCore[[#This Row],[ g/L]]*tbCore[[#This Row],[N]]*10</f>
        <v>0</v>
      </c>
      <c r="S9" s="59">
        <f>tbCore[[#This Row],[ g/L]]*tbCore[[#This Row],[P]]*10</f>
        <v>0</v>
      </c>
      <c r="T9" s="59">
        <f>tbCore[[#This Row],[ g/L]]*tbCore[[#This Row],[K]]*10</f>
        <v>0</v>
      </c>
      <c r="U9" s="59">
        <f>tbCore[[#This Row],[ g/L]]*tbCore[[#This Row],[Ca]]*10</f>
        <v>0</v>
      </c>
      <c r="V9" s="59">
        <f>tbCore[[#This Row],[ g/L]]*tbCore[[#This Row],[Mg]]*10</f>
        <v>0</v>
      </c>
      <c r="W9" s="59">
        <f>tbCore[[#This Row],[ g/L]]*tbCore[[#This Row],[S]]*10</f>
        <v>0</v>
      </c>
      <c r="X9" s="59">
        <f>tbCore[[#This Row],[ g/L]]*tbCore[[#This Row],[Fe]]*10</f>
        <v>0</v>
      </c>
      <c r="Y9" s="59">
        <f>tbCore[[#This Row],[ g/L]]*tbCore[[#This Row],[Mn]]*10</f>
        <v>0</v>
      </c>
      <c r="Z9" s="59">
        <f>tbCore[[#This Row],[ g/L]]*tbCore[[#This Row],[Zn]]*10</f>
        <v>0</v>
      </c>
      <c r="AA9" s="59">
        <f>tbCore[[#This Row],[ g/L]]*tbCore[[#This Row],[B]]*10</f>
        <v>0</v>
      </c>
      <c r="AB9" s="59">
        <f>tbCore[[#This Row],[ g/L]]*tbCore[[#This Row],[Cu]]*10</f>
        <v>0</v>
      </c>
      <c r="AC9" s="60">
        <f>tbCore[[#This Row],[ g/L]]*tbCore[[#This Row],[Mo]]*10</f>
        <v>0</v>
      </c>
    </row>
    <row r="10" spans="1:29" x14ac:dyDescent="0.25">
      <c r="A10" s="70">
        <f>Formulação!A22</f>
        <v>0</v>
      </c>
      <c r="B10" s="71">
        <f>Formulação!B22</f>
        <v>0</v>
      </c>
      <c r="C10" s="59">
        <f>IFERROR(_xlfn.XLOOKUP(A10,tbFertilizantes[Produto],tbFertilizantes[N]),0)</f>
        <v>0</v>
      </c>
      <c r="D10" s="59">
        <f>_xlfn.XLOOKUP(A10,tbFertilizantes[Produto],tbFertilizantes[P],0)</f>
        <v>0</v>
      </c>
      <c r="E10" s="59">
        <f>_xlfn.XLOOKUP(A10,tbFertilizantes[Produto],tbFertilizantes[K],0)</f>
        <v>0</v>
      </c>
      <c r="F10" s="59">
        <f>_xlfn.XLOOKUP(A10,tbFertilizantes[Produto],tbFertilizantes[Ca],0)</f>
        <v>0</v>
      </c>
      <c r="G10" s="59">
        <f>_xlfn.XLOOKUP(A10,tbFertilizantes[Produto],tbFertilizantes[Mg],0)</f>
        <v>0</v>
      </c>
      <c r="H10" s="59">
        <f>_xlfn.XLOOKUP(A10,tbFertilizantes[Produto],tbFertilizantes[S],0)</f>
        <v>0</v>
      </c>
      <c r="I10" s="59">
        <f>_xlfn.XLOOKUP(A10,tbFertilizantes[Produto],tbFertilizantes[Fe],0)</f>
        <v>0</v>
      </c>
      <c r="J10" s="59">
        <f>_xlfn.XLOOKUP(A10,tbFertilizantes[Produto],tbFertilizantes[Zn],0)</f>
        <v>0</v>
      </c>
      <c r="K10" s="59">
        <f>_xlfn.XLOOKUP(A10,tbFertilizantes[Produto],tbFertilizantes[Zn],0)</f>
        <v>0</v>
      </c>
      <c r="L10" s="59">
        <f>_xlfn.XLOOKUP(A10,tbFertilizantes[Produto],tbFertilizantes[B],0)</f>
        <v>0</v>
      </c>
      <c r="M10" s="59">
        <f>_xlfn.XLOOKUP(A10,tbFertilizantes[Produto],tbFertilizantes[Cu],0)</f>
        <v>0</v>
      </c>
      <c r="N10" s="59">
        <f>_xlfn.XLOOKUP(A10,tbFertilizantes[Produto],tbFertilizantes[Mo],0)</f>
        <v>0</v>
      </c>
      <c r="O10" s="12"/>
      <c r="P10" s="12"/>
      <c r="Q10" s="12" t="str">
        <f t="shared" si="0"/>
        <v>✅ Calculando</v>
      </c>
      <c r="R10" s="59">
        <f>tbCore[[#This Row],[ g/L]]*tbCore[[#This Row],[N]]*10</f>
        <v>0</v>
      </c>
      <c r="S10" s="59">
        <f>tbCore[[#This Row],[ g/L]]*tbCore[[#This Row],[P]]*10</f>
        <v>0</v>
      </c>
      <c r="T10" s="59">
        <f>tbCore[[#This Row],[ g/L]]*tbCore[[#This Row],[K]]*10</f>
        <v>0</v>
      </c>
      <c r="U10" s="59">
        <f>tbCore[[#This Row],[ g/L]]*tbCore[[#This Row],[Ca]]*10</f>
        <v>0</v>
      </c>
      <c r="V10" s="59">
        <f>tbCore[[#This Row],[ g/L]]*tbCore[[#This Row],[Mg]]*10</f>
        <v>0</v>
      </c>
      <c r="W10" s="59">
        <f>tbCore[[#This Row],[ g/L]]*tbCore[[#This Row],[S]]*10</f>
        <v>0</v>
      </c>
      <c r="X10" s="59">
        <f>tbCore[[#This Row],[ g/L]]*tbCore[[#This Row],[Fe]]*10</f>
        <v>0</v>
      </c>
      <c r="Y10" s="59">
        <f>tbCore[[#This Row],[ g/L]]*tbCore[[#This Row],[Mn]]*10</f>
        <v>0</v>
      </c>
      <c r="Z10" s="59">
        <f>tbCore[[#This Row],[ g/L]]*tbCore[[#This Row],[Zn]]*10</f>
        <v>0</v>
      </c>
      <c r="AA10" s="59">
        <f>tbCore[[#This Row],[ g/L]]*tbCore[[#This Row],[B]]*10</f>
        <v>0</v>
      </c>
      <c r="AB10" s="59">
        <f>tbCore[[#This Row],[ g/L]]*tbCore[[#This Row],[Cu]]*10</f>
        <v>0</v>
      </c>
      <c r="AC10" s="60">
        <f>tbCore[[#This Row],[ g/L]]*tbCore[[#This Row],[Mo]]*10</f>
        <v>0</v>
      </c>
    </row>
    <row r="11" spans="1:29" x14ac:dyDescent="0.25">
      <c r="A11" s="70">
        <f>Formulação!A23</f>
        <v>0</v>
      </c>
      <c r="B11" s="71">
        <f>Formulação!B23</f>
        <v>0</v>
      </c>
      <c r="C11" s="59">
        <f>IFERROR(_xlfn.XLOOKUP(A11,tbFertilizantes[Produto],tbFertilizantes[N]),0)</f>
        <v>0</v>
      </c>
      <c r="D11" s="59">
        <f>_xlfn.XLOOKUP(A11,tbFertilizantes[Produto],tbFertilizantes[P],0)</f>
        <v>0</v>
      </c>
      <c r="E11" s="59">
        <f>_xlfn.XLOOKUP(A11,tbFertilizantes[Produto],tbFertilizantes[K],0)</f>
        <v>0</v>
      </c>
      <c r="F11" s="59">
        <f>_xlfn.XLOOKUP(A11,tbFertilizantes[Produto],tbFertilizantes[Ca],0)</f>
        <v>0</v>
      </c>
      <c r="G11" s="59">
        <f>_xlfn.XLOOKUP(A11,tbFertilizantes[Produto],tbFertilizantes[Mg],0)</f>
        <v>0</v>
      </c>
      <c r="H11" s="59">
        <f>_xlfn.XLOOKUP(A11,tbFertilizantes[Produto],tbFertilizantes[S],0)</f>
        <v>0</v>
      </c>
      <c r="I11" s="59">
        <f>_xlfn.XLOOKUP(A11,tbFertilizantes[Produto],tbFertilizantes[Fe],0)</f>
        <v>0</v>
      </c>
      <c r="J11" s="59">
        <f>_xlfn.XLOOKUP(A11,tbFertilizantes[Produto],tbFertilizantes[Zn],0)</f>
        <v>0</v>
      </c>
      <c r="K11" s="59">
        <f>_xlfn.XLOOKUP(A11,tbFertilizantes[Produto],tbFertilizantes[Zn],0)</f>
        <v>0</v>
      </c>
      <c r="L11" s="59">
        <f>_xlfn.XLOOKUP(A11,tbFertilizantes[Produto],tbFertilizantes[B],0)</f>
        <v>0</v>
      </c>
      <c r="M11" s="59">
        <f>_xlfn.XLOOKUP(A11,tbFertilizantes[Produto],tbFertilizantes[Cu],0)</f>
        <v>0</v>
      </c>
      <c r="N11" s="59">
        <f>_xlfn.XLOOKUP(A11,tbFertilizantes[Produto],tbFertilizantes[Mo],0)</f>
        <v>0</v>
      </c>
      <c r="O11" s="12"/>
      <c r="P11" s="12"/>
      <c r="Q11" s="12" t="str">
        <f t="shared" si="0"/>
        <v>✅ Calculando</v>
      </c>
      <c r="R11" s="59">
        <f>tbCore[[#This Row],[ g/L]]*tbCore[[#This Row],[N]]*10</f>
        <v>0</v>
      </c>
      <c r="S11" s="59">
        <f>tbCore[[#This Row],[ g/L]]*tbCore[[#This Row],[P]]*10</f>
        <v>0</v>
      </c>
      <c r="T11" s="59">
        <f>tbCore[[#This Row],[ g/L]]*tbCore[[#This Row],[K]]*10</f>
        <v>0</v>
      </c>
      <c r="U11" s="59">
        <f>tbCore[[#This Row],[ g/L]]*tbCore[[#This Row],[Ca]]*10</f>
        <v>0</v>
      </c>
      <c r="V11" s="59">
        <f>tbCore[[#This Row],[ g/L]]*tbCore[[#This Row],[Mg]]*10</f>
        <v>0</v>
      </c>
      <c r="W11" s="59">
        <f>tbCore[[#This Row],[ g/L]]*tbCore[[#This Row],[S]]*10</f>
        <v>0</v>
      </c>
      <c r="X11" s="59">
        <f>tbCore[[#This Row],[ g/L]]*tbCore[[#This Row],[Fe]]*10</f>
        <v>0</v>
      </c>
      <c r="Y11" s="59">
        <f>tbCore[[#This Row],[ g/L]]*tbCore[[#This Row],[Mn]]*10</f>
        <v>0</v>
      </c>
      <c r="Z11" s="59">
        <f>tbCore[[#This Row],[ g/L]]*tbCore[[#This Row],[Zn]]*10</f>
        <v>0</v>
      </c>
      <c r="AA11" s="59">
        <f>tbCore[[#This Row],[ g/L]]*tbCore[[#This Row],[B]]*10</f>
        <v>0</v>
      </c>
      <c r="AB11" s="59">
        <f>tbCore[[#This Row],[ g/L]]*tbCore[[#This Row],[Cu]]*10</f>
        <v>0</v>
      </c>
      <c r="AC11" s="60">
        <f>tbCore[[#This Row],[ g/L]]*tbCore[[#This Row],[Mo]]*10</f>
        <v>0</v>
      </c>
    </row>
    <row r="12" spans="1:29" x14ac:dyDescent="0.25">
      <c r="A12" s="70">
        <f>Formulação!A24</f>
        <v>0</v>
      </c>
      <c r="B12" s="71">
        <f>Formulação!B24</f>
        <v>0</v>
      </c>
      <c r="C12" s="59">
        <f>IFERROR(_xlfn.XLOOKUP(A12,tbFertilizantes[Produto],tbFertilizantes[N]),0)</f>
        <v>0</v>
      </c>
      <c r="D12" s="59">
        <f>_xlfn.XLOOKUP(A12,tbFertilizantes[Produto],tbFertilizantes[P],0)</f>
        <v>0</v>
      </c>
      <c r="E12" s="59">
        <f>_xlfn.XLOOKUP(A12,tbFertilizantes[Produto],tbFertilizantes[K],0)</f>
        <v>0</v>
      </c>
      <c r="F12" s="59">
        <f>_xlfn.XLOOKUP(A12,tbFertilizantes[Produto],tbFertilizantes[Ca],0)</f>
        <v>0</v>
      </c>
      <c r="G12" s="59">
        <f>_xlfn.XLOOKUP(A12,tbFertilizantes[Produto],tbFertilizantes[Mg],0)</f>
        <v>0</v>
      </c>
      <c r="H12" s="59">
        <f>_xlfn.XLOOKUP(A12,tbFertilizantes[Produto],tbFertilizantes[S],0)</f>
        <v>0</v>
      </c>
      <c r="I12" s="59">
        <f>_xlfn.XLOOKUP(A12,tbFertilizantes[Produto],tbFertilizantes[Fe],0)</f>
        <v>0</v>
      </c>
      <c r="J12" s="59">
        <f>_xlfn.XLOOKUP(A12,tbFertilizantes[Produto],tbFertilizantes[Zn],0)</f>
        <v>0</v>
      </c>
      <c r="K12" s="59">
        <f>_xlfn.XLOOKUP(A12,tbFertilizantes[Produto],tbFertilizantes[Zn],0)</f>
        <v>0</v>
      </c>
      <c r="L12" s="59">
        <f>_xlfn.XLOOKUP(A12,tbFertilizantes[Produto],tbFertilizantes[B],0)</f>
        <v>0</v>
      </c>
      <c r="M12" s="59">
        <f>_xlfn.XLOOKUP(A12,tbFertilizantes[Produto],tbFertilizantes[Cu],0)</f>
        <v>0</v>
      </c>
      <c r="N12" s="59">
        <f>_xlfn.XLOOKUP(A12,tbFertilizantes[Produto],tbFertilizantes[Mo],0)</f>
        <v>0</v>
      </c>
      <c r="O12" s="12"/>
      <c r="P12" s="12"/>
      <c r="Q12" s="12" t="str">
        <f t="shared" si="0"/>
        <v>✅ Calculando</v>
      </c>
      <c r="R12" s="59">
        <f>tbCore[[#This Row],[ g/L]]*tbCore[[#This Row],[N]]*10</f>
        <v>0</v>
      </c>
      <c r="S12" s="59">
        <f>tbCore[[#This Row],[ g/L]]*tbCore[[#This Row],[P]]*10</f>
        <v>0</v>
      </c>
      <c r="T12" s="59">
        <f>tbCore[[#This Row],[ g/L]]*tbCore[[#This Row],[K]]*10</f>
        <v>0</v>
      </c>
      <c r="U12" s="59">
        <f>tbCore[[#This Row],[ g/L]]*tbCore[[#This Row],[Ca]]*10</f>
        <v>0</v>
      </c>
      <c r="V12" s="59">
        <f>tbCore[[#This Row],[ g/L]]*tbCore[[#This Row],[Mg]]*10</f>
        <v>0</v>
      </c>
      <c r="W12" s="59">
        <f>tbCore[[#This Row],[ g/L]]*tbCore[[#This Row],[S]]*10</f>
        <v>0</v>
      </c>
      <c r="X12" s="59">
        <f>tbCore[[#This Row],[ g/L]]*tbCore[[#This Row],[Fe]]*10</f>
        <v>0</v>
      </c>
      <c r="Y12" s="59">
        <f>tbCore[[#This Row],[ g/L]]*tbCore[[#This Row],[Mn]]*10</f>
        <v>0</v>
      </c>
      <c r="Z12" s="59">
        <f>tbCore[[#This Row],[ g/L]]*tbCore[[#This Row],[Zn]]*10</f>
        <v>0</v>
      </c>
      <c r="AA12" s="59">
        <f>tbCore[[#This Row],[ g/L]]*tbCore[[#This Row],[B]]*10</f>
        <v>0</v>
      </c>
      <c r="AB12" s="59">
        <f>tbCore[[#This Row],[ g/L]]*tbCore[[#This Row],[Cu]]*10</f>
        <v>0</v>
      </c>
      <c r="AC12" s="60">
        <f>tbCore[[#This Row],[ g/L]]*tbCore[[#This Row],[Mo]]*10</f>
        <v>0</v>
      </c>
    </row>
    <row r="13" spans="1:29" x14ac:dyDescent="0.25">
      <c r="A13" s="70">
        <f>Formulação!A25</f>
        <v>0</v>
      </c>
      <c r="B13" s="71">
        <f>Formulação!B25</f>
        <v>0</v>
      </c>
      <c r="C13" s="59">
        <f>IFERROR(_xlfn.XLOOKUP(A13,tbFertilizantes[Produto],tbFertilizantes[N]),0)</f>
        <v>0</v>
      </c>
      <c r="D13" s="59">
        <f>_xlfn.XLOOKUP(A13,tbFertilizantes[Produto],tbFertilizantes[P],0)</f>
        <v>0</v>
      </c>
      <c r="E13" s="59">
        <f>_xlfn.XLOOKUP(A13,tbFertilizantes[Produto],tbFertilizantes[K],0)</f>
        <v>0</v>
      </c>
      <c r="F13" s="59">
        <f>_xlfn.XLOOKUP(A13,tbFertilizantes[Produto],tbFertilizantes[Ca],0)</f>
        <v>0</v>
      </c>
      <c r="G13" s="59">
        <f>_xlfn.XLOOKUP(A13,tbFertilizantes[Produto],tbFertilizantes[Mg],0)</f>
        <v>0</v>
      </c>
      <c r="H13" s="59">
        <f>_xlfn.XLOOKUP(A13,tbFertilizantes[Produto],tbFertilizantes[S],0)</f>
        <v>0</v>
      </c>
      <c r="I13" s="59">
        <f>_xlfn.XLOOKUP(A13,tbFertilizantes[Produto],tbFertilizantes[Fe],0)</f>
        <v>0</v>
      </c>
      <c r="J13" s="59">
        <f>_xlfn.XLOOKUP(A13,tbFertilizantes[Produto],tbFertilizantes[Zn],0)</f>
        <v>0</v>
      </c>
      <c r="K13" s="59">
        <f>_xlfn.XLOOKUP(A13,tbFertilizantes[Produto],tbFertilizantes[Zn],0)</f>
        <v>0</v>
      </c>
      <c r="L13" s="59">
        <f>_xlfn.XLOOKUP(A13,tbFertilizantes[Produto],tbFertilizantes[B],0)</f>
        <v>0</v>
      </c>
      <c r="M13" s="59">
        <f>_xlfn.XLOOKUP(A13,tbFertilizantes[Produto],tbFertilizantes[Cu],0)</f>
        <v>0</v>
      </c>
      <c r="N13" s="59">
        <f>_xlfn.XLOOKUP(A13,tbFertilizantes[Produto],tbFertilizantes[Mo],0)</f>
        <v>0</v>
      </c>
      <c r="O13" s="12"/>
      <c r="P13" s="12"/>
      <c r="Q13" s="12" t="str">
        <f t="shared" si="0"/>
        <v>✅ Calculando</v>
      </c>
      <c r="R13" s="59">
        <f>tbCore[[#This Row],[ g/L]]*tbCore[[#This Row],[N]]*10</f>
        <v>0</v>
      </c>
      <c r="S13" s="59">
        <f>tbCore[[#This Row],[ g/L]]*tbCore[[#This Row],[P]]*10</f>
        <v>0</v>
      </c>
      <c r="T13" s="59">
        <f>tbCore[[#This Row],[ g/L]]*tbCore[[#This Row],[K]]*10</f>
        <v>0</v>
      </c>
      <c r="U13" s="59">
        <f>tbCore[[#This Row],[ g/L]]*tbCore[[#This Row],[Ca]]*10</f>
        <v>0</v>
      </c>
      <c r="V13" s="59">
        <f>tbCore[[#This Row],[ g/L]]*tbCore[[#This Row],[Mg]]*10</f>
        <v>0</v>
      </c>
      <c r="W13" s="59">
        <f>tbCore[[#This Row],[ g/L]]*tbCore[[#This Row],[S]]*10</f>
        <v>0</v>
      </c>
      <c r="X13" s="59">
        <f>tbCore[[#This Row],[ g/L]]*tbCore[[#This Row],[Fe]]*10</f>
        <v>0</v>
      </c>
      <c r="Y13" s="59">
        <f>tbCore[[#This Row],[ g/L]]*tbCore[[#This Row],[Mn]]*10</f>
        <v>0</v>
      </c>
      <c r="Z13" s="59">
        <f>tbCore[[#This Row],[ g/L]]*tbCore[[#This Row],[Zn]]*10</f>
        <v>0</v>
      </c>
      <c r="AA13" s="59">
        <f>tbCore[[#This Row],[ g/L]]*tbCore[[#This Row],[B]]*10</f>
        <v>0</v>
      </c>
      <c r="AB13" s="59">
        <f>tbCore[[#This Row],[ g/L]]*tbCore[[#This Row],[Cu]]*10</f>
        <v>0</v>
      </c>
      <c r="AC13" s="60">
        <f>tbCore[[#This Row],[ g/L]]*tbCore[[#This Row],[Mo]]*10</f>
        <v>0</v>
      </c>
    </row>
    <row r="14" spans="1:29" x14ac:dyDescent="0.25">
      <c r="A14" s="70">
        <f>Formulação!A26</f>
        <v>0</v>
      </c>
      <c r="B14" s="71">
        <f>Formulação!B26</f>
        <v>0</v>
      </c>
      <c r="C14" s="59">
        <f>IFERROR(_xlfn.XLOOKUP(A14,tbFertilizantes[Produto],tbFertilizantes[N]),0)</f>
        <v>0</v>
      </c>
      <c r="D14" s="59">
        <f>_xlfn.XLOOKUP(A14,tbFertilizantes[Produto],tbFertilizantes[P],0)</f>
        <v>0</v>
      </c>
      <c r="E14" s="59">
        <f>_xlfn.XLOOKUP(A14,tbFertilizantes[Produto],tbFertilizantes[K],0)</f>
        <v>0</v>
      </c>
      <c r="F14" s="59">
        <f>_xlfn.XLOOKUP(A14,tbFertilizantes[Produto],tbFertilizantes[Ca],0)</f>
        <v>0</v>
      </c>
      <c r="G14" s="59">
        <f>_xlfn.XLOOKUP(A14,tbFertilizantes[Produto],tbFertilizantes[Mg],0)</f>
        <v>0</v>
      </c>
      <c r="H14" s="59">
        <f>_xlfn.XLOOKUP(A14,tbFertilizantes[Produto],tbFertilizantes[S],0)</f>
        <v>0</v>
      </c>
      <c r="I14" s="59">
        <f>_xlfn.XLOOKUP(A14,tbFertilizantes[Produto],tbFertilizantes[Fe],0)</f>
        <v>0</v>
      </c>
      <c r="J14" s="59">
        <f>_xlfn.XLOOKUP(A14,tbFertilizantes[Produto],tbFertilizantes[Zn],0)</f>
        <v>0</v>
      </c>
      <c r="K14" s="59">
        <f>_xlfn.XLOOKUP(A14,tbFertilizantes[Produto],tbFertilizantes[Zn],0)</f>
        <v>0</v>
      </c>
      <c r="L14" s="59">
        <f>_xlfn.XLOOKUP(A14,tbFertilizantes[Produto],tbFertilizantes[B],0)</f>
        <v>0</v>
      </c>
      <c r="M14" s="59">
        <f>_xlfn.XLOOKUP(A14,tbFertilizantes[Produto],tbFertilizantes[Cu],0)</f>
        <v>0</v>
      </c>
      <c r="N14" s="59">
        <f>_xlfn.XLOOKUP(A14,tbFertilizantes[Produto],tbFertilizantes[Mo],0)</f>
        <v>0</v>
      </c>
      <c r="O14" s="12"/>
      <c r="P14" s="12"/>
      <c r="Q14" s="12" t="str">
        <f t="shared" si="0"/>
        <v>✅ Calculando</v>
      </c>
      <c r="R14" s="59">
        <f>tbCore[[#This Row],[ g/L]]*tbCore[[#This Row],[N]]*10</f>
        <v>0</v>
      </c>
      <c r="S14" s="59">
        <f>tbCore[[#This Row],[ g/L]]*tbCore[[#This Row],[P]]*10</f>
        <v>0</v>
      </c>
      <c r="T14" s="59">
        <f>tbCore[[#This Row],[ g/L]]*tbCore[[#This Row],[K]]*10</f>
        <v>0</v>
      </c>
      <c r="U14" s="59">
        <f>tbCore[[#This Row],[ g/L]]*tbCore[[#This Row],[Ca]]*10</f>
        <v>0</v>
      </c>
      <c r="V14" s="59">
        <f>tbCore[[#This Row],[ g/L]]*tbCore[[#This Row],[Mg]]*10</f>
        <v>0</v>
      </c>
      <c r="W14" s="59">
        <f>tbCore[[#This Row],[ g/L]]*tbCore[[#This Row],[S]]*10</f>
        <v>0</v>
      </c>
      <c r="X14" s="59">
        <f>tbCore[[#This Row],[ g/L]]*tbCore[[#This Row],[Fe]]*10</f>
        <v>0</v>
      </c>
      <c r="Y14" s="59">
        <f>tbCore[[#This Row],[ g/L]]*tbCore[[#This Row],[Mn]]*10</f>
        <v>0</v>
      </c>
      <c r="Z14" s="59">
        <f>tbCore[[#This Row],[ g/L]]*tbCore[[#This Row],[Zn]]*10</f>
        <v>0</v>
      </c>
      <c r="AA14" s="59">
        <f>tbCore[[#This Row],[ g/L]]*tbCore[[#This Row],[B]]*10</f>
        <v>0</v>
      </c>
      <c r="AB14" s="59">
        <f>tbCore[[#This Row],[ g/L]]*tbCore[[#This Row],[Cu]]*10</f>
        <v>0</v>
      </c>
      <c r="AC14" s="60">
        <f>tbCore[[#This Row],[ g/L]]*tbCore[[#This Row],[Mo]]*10</f>
        <v>0</v>
      </c>
    </row>
    <row r="15" spans="1:29" x14ac:dyDescent="0.25">
      <c r="A15" s="70">
        <f>Formulação!A27</f>
        <v>0</v>
      </c>
      <c r="B15" s="71">
        <f>Formulação!B27</f>
        <v>0</v>
      </c>
      <c r="C15" s="59">
        <f>IFERROR(_xlfn.XLOOKUP(A15,tbFertilizantes[Produto],tbFertilizantes[N]),0)</f>
        <v>0</v>
      </c>
      <c r="D15" s="59">
        <f>_xlfn.XLOOKUP(A15,tbFertilizantes[Produto],tbFertilizantes[P],0)</f>
        <v>0</v>
      </c>
      <c r="E15" s="59">
        <f>_xlfn.XLOOKUP(A15,tbFertilizantes[Produto],tbFertilizantes[K],0)</f>
        <v>0</v>
      </c>
      <c r="F15" s="59">
        <f>_xlfn.XLOOKUP(A15,tbFertilizantes[Produto],tbFertilizantes[Ca],0)</f>
        <v>0</v>
      </c>
      <c r="G15" s="59">
        <f>_xlfn.XLOOKUP(A15,tbFertilizantes[Produto],tbFertilizantes[Mg],0)</f>
        <v>0</v>
      </c>
      <c r="H15" s="59">
        <f>_xlfn.XLOOKUP(A15,tbFertilizantes[Produto],tbFertilizantes[S],0)</f>
        <v>0</v>
      </c>
      <c r="I15" s="59">
        <f>_xlfn.XLOOKUP(A15,tbFertilizantes[Produto],tbFertilizantes[Fe],0)</f>
        <v>0</v>
      </c>
      <c r="J15" s="59">
        <f>_xlfn.XLOOKUP(A15,tbFertilizantes[Produto],tbFertilizantes[Zn],0)</f>
        <v>0</v>
      </c>
      <c r="K15" s="59">
        <f>_xlfn.XLOOKUP(A15,tbFertilizantes[Produto],tbFertilizantes[Zn],0)</f>
        <v>0</v>
      </c>
      <c r="L15" s="59">
        <f>_xlfn.XLOOKUP(A15,tbFertilizantes[Produto],tbFertilizantes[B],0)</f>
        <v>0</v>
      </c>
      <c r="M15" s="59">
        <f>_xlfn.XLOOKUP(A15,tbFertilizantes[Produto],tbFertilizantes[Cu],0)</f>
        <v>0</v>
      </c>
      <c r="N15" s="59">
        <f>_xlfn.XLOOKUP(A15,tbFertilizantes[Produto],tbFertilizantes[Mo],0)</f>
        <v>0</v>
      </c>
      <c r="O15" s="12"/>
      <c r="P15" s="12"/>
      <c r="Q15" s="12" t="str">
        <f t="shared" si="0"/>
        <v>✅ Calculando</v>
      </c>
      <c r="R15" s="59">
        <f>tbCore[[#This Row],[ g/L]]*tbCore[[#This Row],[N]]*10</f>
        <v>0</v>
      </c>
      <c r="S15" s="59">
        <f>tbCore[[#This Row],[ g/L]]*tbCore[[#This Row],[P]]*10</f>
        <v>0</v>
      </c>
      <c r="T15" s="59">
        <f>tbCore[[#This Row],[ g/L]]*tbCore[[#This Row],[K]]*10</f>
        <v>0</v>
      </c>
      <c r="U15" s="59">
        <f>tbCore[[#This Row],[ g/L]]*tbCore[[#This Row],[Ca]]*10</f>
        <v>0</v>
      </c>
      <c r="V15" s="59">
        <f>tbCore[[#This Row],[ g/L]]*tbCore[[#This Row],[Mg]]*10</f>
        <v>0</v>
      </c>
      <c r="W15" s="59">
        <f>tbCore[[#This Row],[ g/L]]*tbCore[[#This Row],[S]]*10</f>
        <v>0</v>
      </c>
      <c r="X15" s="59">
        <f>tbCore[[#This Row],[ g/L]]*tbCore[[#This Row],[Fe]]*10</f>
        <v>0</v>
      </c>
      <c r="Y15" s="59">
        <f>tbCore[[#This Row],[ g/L]]*tbCore[[#This Row],[Mn]]*10</f>
        <v>0</v>
      </c>
      <c r="Z15" s="59">
        <f>tbCore[[#This Row],[ g/L]]*tbCore[[#This Row],[Zn]]*10</f>
        <v>0</v>
      </c>
      <c r="AA15" s="59">
        <f>tbCore[[#This Row],[ g/L]]*tbCore[[#This Row],[B]]*10</f>
        <v>0</v>
      </c>
      <c r="AB15" s="59">
        <f>tbCore[[#This Row],[ g/L]]*tbCore[[#This Row],[Cu]]*10</f>
        <v>0</v>
      </c>
      <c r="AC15" s="60">
        <f>tbCore[[#This Row],[ g/L]]*tbCore[[#This Row],[Mo]]*10</f>
        <v>0</v>
      </c>
    </row>
    <row r="16" spans="1:29" x14ac:dyDescent="0.25">
      <c r="A16" s="70">
        <f>Formulação!A28</f>
        <v>0</v>
      </c>
      <c r="B16" s="71">
        <f>Formulação!B28</f>
        <v>0</v>
      </c>
      <c r="C16" s="59">
        <f>IFERROR(_xlfn.XLOOKUP(A16,tbFertilizantes[Produto],tbFertilizantes[N]),0)</f>
        <v>0</v>
      </c>
      <c r="D16" s="59">
        <f>_xlfn.XLOOKUP(A16,tbFertilizantes[Produto],tbFertilizantes[P],0)</f>
        <v>0</v>
      </c>
      <c r="E16" s="59">
        <f>_xlfn.XLOOKUP(A16,tbFertilizantes[Produto],tbFertilizantes[K],0)</f>
        <v>0</v>
      </c>
      <c r="F16" s="59">
        <f>_xlfn.XLOOKUP(A16,tbFertilizantes[Produto],tbFertilizantes[Ca],0)</f>
        <v>0</v>
      </c>
      <c r="G16" s="59">
        <f>_xlfn.XLOOKUP(A16,tbFertilizantes[Produto],tbFertilizantes[Mg],0)</f>
        <v>0</v>
      </c>
      <c r="H16" s="59">
        <f>_xlfn.XLOOKUP(A16,tbFertilizantes[Produto],tbFertilizantes[S],0)</f>
        <v>0</v>
      </c>
      <c r="I16" s="59">
        <f>_xlfn.XLOOKUP(A16,tbFertilizantes[Produto],tbFertilizantes[Fe],0)</f>
        <v>0</v>
      </c>
      <c r="J16" s="59">
        <f>_xlfn.XLOOKUP(A16,tbFertilizantes[Produto],tbFertilizantes[Zn],0)</f>
        <v>0</v>
      </c>
      <c r="K16" s="59">
        <f>_xlfn.XLOOKUP(A16,tbFertilizantes[Produto],tbFertilizantes[Zn],0)</f>
        <v>0</v>
      </c>
      <c r="L16" s="59">
        <f>_xlfn.XLOOKUP(A16,tbFertilizantes[Produto],tbFertilizantes[B],0)</f>
        <v>0</v>
      </c>
      <c r="M16" s="59">
        <f>_xlfn.XLOOKUP(A16,tbFertilizantes[Produto],tbFertilizantes[Cu],0)</f>
        <v>0</v>
      </c>
      <c r="N16" s="59">
        <f>_xlfn.XLOOKUP(A16,tbFertilizantes[Produto],tbFertilizantes[Mo],0)</f>
        <v>0</v>
      </c>
      <c r="O16" s="12"/>
      <c r="P16" s="12"/>
      <c r="Q16" s="12" t="str">
        <f t="shared" si="0"/>
        <v>✅ Calculando</v>
      </c>
      <c r="R16" s="59">
        <f>tbCore[[#This Row],[ g/L]]*tbCore[[#This Row],[N]]*10</f>
        <v>0</v>
      </c>
      <c r="S16" s="59">
        <f>tbCore[[#This Row],[ g/L]]*tbCore[[#This Row],[P]]*10</f>
        <v>0</v>
      </c>
      <c r="T16" s="59">
        <f>tbCore[[#This Row],[ g/L]]*tbCore[[#This Row],[K]]*10</f>
        <v>0</v>
      </c>
      <c r="U16" s="59">
        <f>tbCore[[#This Row],[ g/L]]*tbCore[[#This Row],[Ca]]*10</f>
        <v>0</v>
      </c>
      <c r="V16" s="59">
        <f>tbCore[[#This Row],[ g/L]]*tbCore[[#This Row],[Mg]]*10</f>
        <v>0</v>
      </c>
      <c r="W16" s="59">
        <f>tbCore[[#This Row],[ g/L]]*tbCore[[#This Row],[S]]*10</f>
        <v>0</v>
      </c>
      <c r="X16" s="59">
        <f>tbCore[[#This Row],[ g/L]]*tbCore[[#This Row],[Fe]]*10</f>
        <v>0</v>
      </c>
      <c r="Y16" s="59">
        <f>tbCore[[#This Row],[ g/L]]*tbCore[[#This Row],[Mn]]*10</f>
        <v>0</v>
      </c>
      <c r="Z16" s="59">
        <f>tbCore[[#This Row],[ g/L]]*tbCore[[#This Row],[Zn]]*10</f>
        <v>0</v>
      </c>
      <c r="AA16" s="59">
        <f>tbCore[[#This Row],[ g/L]]*tbCore[[#This Row],[B]]*10</f>
        <v>0</v>
      </c>
      <c r="AB16" s="59">
        <f>tbCore[[#This Row],[ g/L]]*tbCore[[#This Row],[Cu]]*10</f>
        <v>0</v>
      </c>
      <c r="AC16" s="60">
        <f>tbCore[[#This Row],[ g/L]]*tbCore[[#This Row],[Mo]]*10</f>
        <v>0</v>
      </c>
    </row>
    <row r="20" spans="1:2" x14ac:dyDescent="0.25">
      <c r="A20" s="9" t="s">
        <v>66</v>
      </c>
      <c r="B20" s="9" t="s">
        <v>124</v>
      </c>
    </row>
    <row r="21" spans="1:2" x14ac:dyDescent="0.25">
      <c r="A21" s="14" t="s">
        <v>53</v>
      </c>
      <c r="B21" s="15">
        <f>SUM(tbCore[N ppm])</f>
        <v>0</v>
      </c>
    </row>
    <row r="22" spans="1:2" x14ac:dyDescent="0.25">
      <c r="A22" s="14" t="s">
        <v>54</v>
      </c>
      <c r="B22" s="15">
        <f>SUM(tbCore[P ppm])</f>
        <v>0</v>
      </c>
    </row>
    <row r="23" spans="1:2" x14ac:dyDescent="0.25">
      <c r="A23" s="14" t="s">
        <v>55</v>
      </c>
      <c r="B23" s="15">
        <f>SUM(tbCore[K ppm])</f>
        <v>0</v>
      </c>
    </row>
    <row r="24" spans="1:2" x14ac:dyDescent="0.25">
      <c r="A24" s="14" t="s">
        <v>56</v>
      </c>
      <c r="B24" s="15">
        <f>SUM(tbCore[Ca ppm])</f>
        <v>0</v>
      </c>
    </row>
    <row r="25" spans="1:2" x14ac:dyDescent="0.25">
      <c r="A25" s="14" t="s">
        <v>57</v>
      </c>
      <c r="B25" s="15">
        <f>SUM(tbCore[Mg ppm])</f>
        <v>0</v>
      </c>
    </row>
    <row r="26" spans="1:2" x14ac:dyDescent="0.25">
      <c r="A26" s="14" t="s">
        <v>58</v>
      </c>
      <c r="B26" s="15">
        <f>SUM(tbCore[S ppm])</f>
        <v>0</v>
      </c>
    </row>
    <row r="27" spans="1:2" x14ac:dyDescent="0.25">
      <c r="A27" s="14" t="s">
        <v>59</v>
      </c>
      <c r="B27" s="15">
        <f>SUM(tbCore[Fe ppm])</f>
        <v>0</v>
      </c>
    </row>
    <row r="28" spans="1:2" x14ac:dyDescent="0.25">
      <c r="A28" s="14" t="s">
        <v>60</v>
      </c>
      <c r="B28" s="15">
        <f>SUM(tbCore[Mn ppm])</f>
        <v>0</v>
      </c>
    </row>
    <row r="29" spans="1:2" x14ac:dyDescent="0.25">
      <c r="A29" s="14" t="s">
        <v>61</v>
      </c>
      <c r="B29" s="15">
        <f>SUM(tbCore[Zn ppm])</f>
        <v>0</v>
      </c>
    </row>
    <row r="30" spans="1:2" x14ac:dyDescent="0.25">
      <c r="A30" s="14" t="s">
        <v>62</v>
      </c>
      <c r="B30" s="15">
        <f>SUM(tbCore[B ppm])</f>
        <v>0</v>
      </c>
    </row>
    <row r="31" spans="1:2" x14ac:dyDescent="0.25">
      <c r="A31" s="14" t="s">
        <v>63</v>
      </c>
      <c r="B31" s="15">
        <f>SUM(tbCore[Cu ppm])</f>
        <v>0</v>
      </c>
    </row>
    <row r="32" spans="1:2" x14ac:dyDescent="0.25">
      <c r="A32" s="14" t="s">
        <v>64</v>
      </c>
      <c r="B32" s="15">
        <f>SUM(tbCore[Mo ppm])</f>
        <v>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D9CD-B59F-41DC-BE08-EF4AFAA8456E}">
  <dimension ref="A1"/>
  <sheetViews>
    <sheetView workbookViewId="0">
      <selection activeCell="A5" sqref="A5"/>
    </sheetView>
  </sheetViews>
  <sheetFormatPr defaultRowHeight="15" x14ac:dyDescent="0.25"/>
  <cols>
    <col min="1" max="1" width="12.85546875" bestFit="1" customWidth="1"/>
  </cols>
  <sheetData>
    <row r="1" spans="1:1" x14ac:dyDescent="0.25">
      <c r="A1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8DE9-EE45-4D44-885E-A900808ADB4D}">
  <dimension ref="A1:K16"/>
  <sheetViews>
    <sheetView workbookViewId="0">
      <selection activeCell="L33" sqref="L33"/>
    </sheetView>
  </sheetViews>
  <sheetFormatPr defaultRowHeight="15" x14ac:dyDescent="0.25"/>
  <cols>
    <col min="1" max="1" width="11.85546875" customWidth="1"/>
    <col min="2" max="2" width="7.140625" customWidth="1"/>
    <col min="3" max="3" width="7.85546875" customWidth="1"/>
    <col min="4" max="4" width="11.7109375" customWidth="1"/>
    <col min="5" max="5" width="8.85546875" bestFit="1" customWidth="1"/>
    <col min="6" max="6" width="10" bestFit="1" customWidth="1"/>
    <col min="11" max="11" width="16.7109375" bestFit="1" customWidth="1"/>
  </cols>
  <sheetData>
    <row r="1" spans="1:11" x14ac:dyDescent="0.25">
      <c r="A1" s="32" t="s">
        <v>66</v>
      </c>
      <c r="B1" s="33" t="s">
        <v>72</v>
      </c>
      <c r="C1" s="34" t="s">
        <v>74</v>
      </c>
      <c r="D1" s="34" t="s">
        <v>75</v>
      </c>
      <c r="E1" s="35" t="s">
        <v>73</v>
      </c>
      <c r="F1" s="55" t="s">
        <v>114</v>
      </c>
      <c r="G1" s="54"/>
    </row>
    <row r="2" spans="1:11" ht="30" x14ac:dyDescent="0.25">
      <c r="A2" s="36" t="s">
        <v>32</v>
      </c>
      <c r="B2" s="37">
        <f>Core!B21</f>
        <v>0</v>
      </c>
      <c r="C2" s="37">
        <f>Tabela6[[#This Row],[Alvo MVP]]</f>
        <v>0</v>
      </c>
      <c r="D2" s="37">
        <f>B2-C2</f>
        <v>0</v>
      </c>
      <c r="E2" s="38" t="str">
        <f t="shared" ref="E2:E13" si="0">IF(ABS(D2)&lt;=10,"🟢 Ideal",IF(ABS(D2)&lt;=20,"🟡 Ajustar","🔴 Fora da faixa"))</f>
        <v>🟢 Ideal</v>
      </c>
      <c r="F2" s="33" t="e">
        <f>((Tabela5[[#This Row],[ppm]]-Tabela5[[#This Row],[Meta]])/Tabela5[[#This Row],[Meta]])*100</f>
        <v>#DIV/0!</v>
      </c>
      <c r="G2" s="54"/>
    </row>
    <row r="3" spans="1:11" x14ac:dyDescent="0.25">
      <c r="A3" s="36" t="s">
        <v>33</v>
      </c>
      <c r="B3" s="37">
        <f>Core!B22</f>
        <v>0</v>
      </c>
      <c r="C3" s="37">
        <f>Tabela6[[#This Row],[Alvo MVP]]</f>
        <v>0</v>
      </c>
      <c r="D3" s="37">
        <f t="shared" ref="D3:D13" si="1">B3-C3</f>
        <v>0</v>
      </c>
      <c r="E3" s="38" t="str">
        <f t="shared" si="0"/>
        <v>🟢 Ideal</v>
      </c>
      <c r="F3" s="37" t="e">
        <f>((Tabela5[[#This Row],[ppm]]-Tabela5[[#This Row],[Meta]])/Tabela5[[#This Row],[Meta]])*100</f>
        <v>#DIV/0!</v>
      </c>
      <c r="G3" s="54"/>
    </row>
    <row r="4" spans="1:11" x14ac:dyDescent="0.25">
      <c r="A4" s="36" t="s">
        <v>34</v>
      </c>
      <c r="B4" s="37">
        <f>Core!B23</f>
        <v>0</v>
      </c>
      <c r="C4" s="37">
        <f>Tabela6[[#This Row],[Alvo MVP]]</f>
        <v>0</v>
      </c>
      <c r="D4" s="37">
        <f t="shared" si="1"/>
        <v>0</v>
      </c>
      <c r="E4" s="38" t="str">
        <f t="shared" si="0"/>
        <v>🟢 Ideal</v>
      </c>
      <c r="F4" s="37" t="e">
        <f>((Tabela5[[#This Row],[ppm]]-Tabela5[[#This Row],[Meta]])/Tabela5[[#This Row],[Meta]])*100</f>
        <v>#DIV/0!</v>
      </c>
      <c r="G4" s="54"/>
    </row>
    <row r="5" spans="1:11" x14ac:dyDescent="0.25">
      <c r="A5" s="36" t="s">
        <v>5</v>
      </c>
      <c r="B5" s="37">
        <f>Core!B24</f>
        <v>0</v>
      </c>
      <c r="C5" s="37">
        <f>Tabela6[[#This Row],[Alvo MVP]]</f>
        <v>0</v>
      </c>
      <c r="D5" s="37">
        <f t="shared" si="1"/>
        <v>0</v>
      </c>
      <c r="E5" s="38" t="str">
        <f t="shared" si="0"/>
        <v>🟢 Ideal</v>
      </c>
      <c r="F5" s="37" t="e">
        <f>((Tabela5[[#This Row],[ppm]]-Tabela5[[#This Row],[Meta]])/Tabela5[[#This Row],[Meta]])*100</f>
        <v>#DIV/0!</v>
      </c>
      <c r="G5" s="54"/>
    </row>
    <row r="6" spans="1:11" x14ac:dyDescent="0.25">
      <c r="A6" s="36" t="s">
        <v>6</v>
      </c>
      <c r="B6" s="37">
        <f>Core!B25</f>
        <v>0</v>
      </c>
      <c r="C6" s="37">
        <f>Tabela6[[#This Row],[Alvo MVP]]</f>
        <v>0</v>
      </c>
      <c r="D6" s="37">
        <f t="shared" si="1"/>
        <v>0</v>
      </c>
      <c r="E6" s="38" t="str">
        <f t="shared" si="0"/>
        <v>🟢 Ideal</v>
      </c>
      <c r="F6" s="37" t="e">
        <f>((Tabela5[[#This Row],[ppm]]-Tabela5[[#This Row],[Meta]])/Tabela5[[#This Row],[Meta]])*100</f>
        <v>#DIV/0!</v>
      </c>
      <c r="G6" s="54"/>
    </row>
    <row r="7" spans="1:11" x14ac:dyDescent="0.25">
      <c r="A7" s="36" t="s">
        <v>35</v>
      </c>
      <c r="B7" s="37">
        <f>Core!B26</f>
        <v>0</v>
      </c>
      <c r="C7" s="37">
        <f>Tabela6[[#This Row],[Alvo MVP]]</f>
        <v>0</v>
      </c>
      <c r="D7" s="37">
        <f t="shared" si="1"/>
        <v>0</v>
      </c>
      <c r="E7" s="38" t="str">
        <f t="shared" si="0"/>
        <v>🟢 Ideal</v>
      </c>
      <c r="F7" s="37" t="e">
        <f>((Tabela5[[#This Row],[ppm]]-Tabela5[[#This Row],[Meta]])/Tabela5[[#This Row],[Meta]])*100</f>
        <v>#DIV/0!</v>
      </c>
      <c r="G7" s="54"/>
    </row>
    <row r="8" spans="1:11" x14ac:dyDescent="0.25">
      <c r="A8" s="36" t="s">
        <v>36</v>
      </c>
      <c r="B8" s="37">
        <f>Core!B27</f>
        <v>0</v>
      </c>
      <c r="C8" s="37">
        <f>Tabela6[[#This Row],[Alvo MVP]]</f>
        <v>0</v>
      </c>
      <c r="D8" s="37">
        <f t="shared" si="1"/>
        <v>0</v>
      </c>
      <c r="E8" s="38" t="str">
        <f t="shared" si="0"/>
        <v>🟢 Ideal</v>
      </c>
      <c r="F8" s="37" t="e">
        <f>((Tabela5[[#This Row],[ppm]]-Tabela5[[#This Row],[Meta]])/Tabela5[[#This Row],[Meta]])*100</f>
        <v>#DIV/0!</v>
      </c>
      <c r="G8" s="54"/>
    </row>
    <row r="9" spans="1:11" x14ac:dyDescent="0.25">
      <c r="A9" s="36" t="s">
        <v>37</v>
      </c>
      <c r="B9" s="37">
        <f>Core!B28</f>
        <v>0</v>
      </c>
      <c r="C9" s="37">
        <f>Tabela6[[#This Row],[Alvo MVP]]</f>
        <v>0</v>
      </c>
      <c r="D9" s="37">
        <f t="shared" si="1"/>
        <v>0</v>
      </c>
      <c r="E9" s="38" t="str">
        <f t="shared" si="0"/>
        <v>🟢 Ideal</v>
      </c>
      <c r="F9" s="37" t="e">
        <f>((Tabela5[[#This Row],[ppm]]-Tabela5[[#This Row],[Meta]])/Tabela5[[#This Row],[Meta]])*100</f>
        <v>#DIV/0!</v>
      </c>
      <c r="G9" s="54"/>
    </row>
    <row r="10" spans="1:11" x14ac:dyDescent="0.25">
      <c r="A10" s="36" t="s">
        <v>38</v>
      </c>
      <c r="B10" s="37">
        <f>Core!B29</f>
        <v>0</v>
      </c>
      <c r="C10" s="37">
        <f>Tabela6[[#This Row],[Alvo MVP]]</f>
        <v>0</v>
      </c>
      <c r="D10" s="37">
        <f t="shared" si="1"/>
        <v>0</v>
      </c>
      <c r="E10" s="38" t="str">
        <f t="shared" si="0"/>
        <v>🟢 Ideal</v>
      </c>
      <c r="F10" s="37" t="e">
        <f>((Tabela5[[#This Row],[ppm]]-Tabela5[[#This Row],[Meta]])/Tabela5[[#This Row],[Meta]])*100</f>
        <v>#DIV/0!</v>
      </c>
      <c r="G10" s="54"/>
    </row>
    <row r="11" spans="1:11" x14ac:dyDescent="0.25">
      <c r="A11" s="36" t="s">
        <v>25</v>
      </c>
      <c r="B11" s="37">
        <f>Core!B30</f>
        <v>0</v>
      </c>
      <c r="C11" s="37">
        <f>Tabela6[[#This Row],[Alvo MVP]]</f>
        <v>0</v>
      </c>
      <c r="D11" s="37">
        <f t="shared" si="1"/>
        <v>0</v>
      </c>
      <c r="E11" s="38" t="str">
        <f t="shared" si="0"/>
        <v>🟢 Ideal</v>
      </c>
      <c r="F11" s="37" t="e">
        <f>((Tabela5[[#This Row],[ppm]]-Tabela5[[#This Row],[Meta]])/Tabela5[[#This Row],[Meta]])*100</f>
        <v>#DIV/0!</v>
      </c>
      <c r="G11" s="54"/>
    </row>
    <row r="12" spans="1:11" x14ac:dyDescent="0.25">
      <c r="A12" s="36" t="s">
        <v>39</v>
      </c>
      <c r="B12" s="37">
        <f>Core!B31</f>
        <v>0</v>
      </c>
      <c r="C12" s="37">
        <f>Tabela6[[#This Row],[Alvo MVP]]</f>
        <v>0</v>
      </c>
      <c r="D12" s="37">
        <f t="shared" si="1"/>
        <v>0</v>
      </c>
      <c r="E12" s="38" t="str">
        <f t="shared" si="0"/>
        <v>🟢 Ideal</v>
      </c>
      <c r="F12" s="37" t="e">
        <f>((Tabela5[[#This Row],[ppm]]-Tabela5[[#This Row],[Meta]])/Tabela5[[#This Row],[Meta]])*100</f>
        <v>#DIV/0!</v>
      </c>
      <c r="G12" s="54"/>
    </row>
    <row r="13" spans="1:11" x14ac:dyDescent="0.25">
      <c r="A13" s="39" t="s">
        <v>40</v>
      </c>
      <c r="B13" s="40">
        <f>Core!B32</f>
        <v>0</v>
      </c>
      <c r="C13" s="40">
        <f>Tabela6[[#This Row],[Alvo MVP]]</f>
        <v>0</v>
      </c>
      <c r="D13" s="37">
        <f t="shared" si="1"/>
        <v>0</v>
      </c>
      <c r="E13" s="41" t="str">
        <f t="shared" si="0"/>
        <v>🟢 Ideal</v>
      </c>
      <c r="F13" s="40" t="e">
        <f>((Tabela5[[#This Row],[ppm]]-Tabela5[[#This Row],[Meta]])/Tabela5[[#This Row],[Meta]])*100</f>
        <v>#DIV/0!</v>
      </c>
      <c r="G13" s="54"/>
    </row>
    <row r="16" spans="1:11" x14ac:dyDescent="0.25">
      <c r="K16" s="50" t="s">
        <v>115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C5A9-EE1E-4E82-81B4-649B8D318560}">
  <dimension ref="A1:H7"/>
  <sheetViews>
    <sheetView workbookViewId="0">
      <selection activeCell="G34" sqref="G34"/>
    </sheetView>
  </sheetViews>
  <sheetFormatPr defaultRowHeight="15" x14ac:dyDescent="0.25"/>
  <cols>
    <col min="2" max="2" width="19.28515625" bestFit="1" customWidth="1"/>
    <col min="3" max="3" width="18.7109375" bestFit="1" customWidth="1"/>
    <col min="4" max="4" width="16.5703125" bestFit="1" customWidth="1"/>
    <col min="5" max="5" width="16.42578125" customWidth="1"/>
    <col min="6" max="6" width="16.85546875" customWidth="1"/>
    <col min="7" max="7" width="11.7109375" customWidth="1"/>
    <col min="8" max="8" width="13.140625" bestFit="1" customWidth="1"/>
  </cols>
  <sheetData>
    <row r="1" spans="1:8" x14ac:dyDescent="0.25">
      <c r="A1" s="21" t="s">
        <v>12</v>
      </c>
      <c r="B1" s="22" t="s">
        <v>28</v>
      </c>
      <c r="C1" s="23" t="s">
        <v>84</v>
      </c>
      <c r="D1" s="22" t="s">
        <v>66</v>
      </c>
      <c r="E1" s="23" t="s">
        <v>85</v>
      </c>
      <c r="F1" s="23" t="s">
        <v>86</v>
      </c>
      <c r="G1" s="23" t="s">
        <v>75</v>
      </c>
      <c r="H1" s="24" t="s">
        <v>73</v>
      </c>
    </row>
    <row r="2" spans="1:8" x14ac:dyDescent="0.25">
      <c r="A2" s="25" t="s">
        <v>80</v>
      </c>
      <c r="B2" s="26" t="s">
        <v>8</v>
      </c>
      <c r="C2" s="27"/>
      <c r="D2" s="26" t="s">
        <v>32</v>
      </c>
      <c r="E2" s="27"/>
      <c r="F2" s="27"/>
      <c r="G2" s="27">
        <f>Tabela4[[#This Row],[Valor Calculado]]-Tabela4[[#This Row],[Valor Esperado]]</f>
        <v>0</v>
      </c>
      <c r="H2" s="28" t="str">
        <f>IF(Tabela4[[#This Row],[Diferença]]=0,"✅ Aprovado","❌ Revisar")</f>
        <v>✅ Aprovado</v>
      </c>
    </row>
    <row r="3" spans="1:8" x14ac:dyDescent="0.25">
      <c r="A3" s="25" t="s">
        <v>81</v>
      </c>
      <c r="B3" s="26" t="s">
        <v>8</v>
      </c>
      <c r="C3" s="27"/>
      <c r="D3" s="26" t="s">
        <v>5</v>
      </c>
      <c r="E3" s="27"/>
      <c r="F3" s="27"/>
      <c r="G3" s="27">
        <f>Tabela4[[#This Row],[Valor Calculado]]-Tabela4[[#This Row],[Valor Esperado]]</f>
        <v>0</v>
      </c>
      <c r="H3" s="28" t="str">
        <f>IF(Tabela4[[#This Row],[Diferença]]=0,"✅ Aprovado","❌ Revisar")</f>
        <v>✅ Aprovado</v>
      </c>
    </row>
    <row r="4" spans="1:8" x14ac:dyDescent="0.25">
      <c r="A4" s="25" t="s">
        <v>82</v>
      </c>
      <c r="B4" s="26" t="s">
        <v>9</v>
      </c>
      <c r="C4" s="27"/>
      <c r="D4" s="26" t="s">
        <v>33</v>
      </c>
      <c r="E4" s="27"/>
      <c r="F4" s="27"/>
      <c r="G4" s="27">
        <f>Tabela4[[#This Row],[Valor Calculado]]-Tabela4[[#This Row],[Valor Esperado]]</f>
        <v>0</v>
      </c>
      <c r="H4" s="28" t="str">
        <f>IF(Tabela4[[#This Row],[Diferença]]=0,"✅ Aprovado","❌ Revisar")</f>
        <v>✅ Aprovado</v>
      </c>
    </row>
    <row r="5" spans="1:8" x14ac:dyDescent="0.25">
      <c r="A5" s="25" t="s">
        <v>83</v>
      </c>
      <c r="B5" s="26" t="s">
        <v>9</v>
      </c>
      <c r="C5" s="27"/>
      <c r="D5" s="26" t="s">
        <v>34</v>
      </c>
      <c r="E5" s="27"/>
      <c r="F5" s="27"/>
      <c r="G5" s="27">
        <f>Tabela4[[#This Row],[Valor Calculado]]-Tabela4[[#This Row],[Valor Esperado]]</f>
        <v>0</v>
      </c>
      <c r="H5" s="28" t="str">
        <f>IF(Tabela4[[#This Row],[Diferença]]=0,"✅ Aprovado","❌ Revisar")</f>
        <v>✅ Aprovado</v>
      </c>
    </row>
    <row r="6" spans="1:8" x14ac:dyDescent="0.25">
      <c r="A6" s="25" t="s">
        <v>87</v>
      </c>
      <c r="B6" s="26" t="s">
        <v>10</v>
      </c>
      <c r="C6" s="27"/>
      <c r="D6" s="26" t="s">
        <v>6</v>
      </c>
      <c r="E6" s="27"/>
      <c r="F6" s="27"/>
      <c r="G6" s="27">
        <f>Tabela4[[#This Row],[Valor Calculado]]-Tabela4[[#This Row],[Valor Esperado]]</f>
        <v>0</v>
      </c>
      <c r="H6" s="28" t="str">
        <f>IF(Tabela4[[#This Row],[Diferença]]=0,"✅ Aprovado","❌ Revisar")</f>
        <v>✅ Aprovado</v>
      </c>
    </row>
    <row r="7" spans="1:8" x14ac:dyDescent="0.25">
      <c r="A7" s="29" t="s">
        <v>88</v>
      </c>
      <c r="B7" s="30" t="s">
        <v>10</v>
      </c>
      <c r="C7" s="31"/>
      <c r="D7" s="30" t="s">
        <v>35</v>
      </c>
      <c r="E7" s="31"/>
      <c r="F7" s="31"/>
      <c r="G7" s="31">
        <f>Tabela4[[#This Row],[Valor Calculado]]-Tabela4[[#This Row],[Valor Esperado]]</f>
        <v>0</v>
      </c>
      <c r="H7" s="28" t="str">
        <f>IF(Tabela4[[#This Row],[Diferença]]=0,"✅ Aprovado","❌ Revisar")</f>
        <v>✅ Aprovado</v>
      </c>
    </row>
  </sheetData>
  <conditionalFormatting sqref="H2:H7">
    <cfRule type="containsText" dxfId="7" priority="1" operator="containsText" text="Revisar">
      <formula>NOT(ISERROR(SEARCH("Revisar",H2)))</formula>
    </cfRule>
    <cfRule type="containsText" dxfId="6" priority="2" operator="containsText" text="Reprovado">
      <formula>NOT(ISERROR(SEARCH("Reprovado",H2)))</formula>
    </cfRule>
    <cfRule type="containsText" dxfId="5" priority="3" operator="containsText" text="Aprovado">
      <formula>NOT(ISERROR(SEARCH("Aprovado",H2)))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D07D-EDA9-4434-8652-C048934E9366}">
  <dimension ref="A1:N2"/>
  <sheetViews>
    <sheetView workbookViewId="0">
      <selection activeCell="J28" sqref="J28"/>
    </sheetView>
  </sheetViews>
  <sheetFormatPr defaultRowHeight="15" x14ac:dyDescent="0.25"/>
  <cols>
    <col min="1" max="1" width="8.5703125" customWidth="1"/>
    <col min="2" max="2" width="9.28515625" customWidth="1"/>
    <col min="3" max="3" width="8.140625" customWidth="1"/>
    <col min="4" max="4" width="7.140625" customWidth="1"/>
    <col min="5" max="5" width="11.5703125" customWidth="1"/>
    <col min="6" max="6" width="9.42578125" customWidth="1"/>
    <col min="7" max="7" width="7.140625" customWidth="1"/>
    <col min="8" max="8" width="10.140625" customWidth="1"/>
    <col min="9" max="9" width="7.5703125" customWidth="1"/>
    <col min="10" max="10" width="14.42578125" customWidth="1"/>
    <col min="13" max="13" width="13.28515625" customWidth="1"/>
  </cols>
  <sheetData>
    <row r="1" spans="1:14" x14ac:dyDescent="0.25">
      <c r="A1" s="20" t="s">
        <v>90</v>
      </c>
      <c r="B1" s="46" t="s">
        <v>91</v>
      </c>
      <c r="C1" s="46" t="s">
        <v>92</v>
      </c>
      <c r="D1" s="46" t="s">
        <v>93</v>
      </c>
      <c r="E1" s="46" t="s">
        <v>94</v>
      </c>
      <c r="F1" s="46" t="s">
        <v>95</v>
      </c>
      <c r="G1" s="46" t="s">
        <v>96</v>
      </c>
      <c r="H1" s="46" t="s">
        <v>97</v>
      </c>
      <c r="I1" s="46" t="s">
        <v>98</v>
      </c>
      <c r="J1" s="46" t="s">
        <v>15</v>
      </c>
      <c r="M1" s="20" t="s">
        <v>28</v>
      </c>
      <c r="N1" s="19" t="s">
        <v>84</v>
      </c>
    </row>
    <row r="2" spans="1:14" x14ac:dyDescent="0.25">
      <c r="A2" s="18"/>
      <c r="B2" s="47"/>
      <c r="C2" s="47"/>
      <c r="D2" s="47"/>
      <c r="E2" s="47"/>
      <c r="F2" s="47"/>
      <c r="G2" s="47"/>
      <c r="H2" s="47"/>
      <c r="I2" s="47">
        <v>2</v>
      </c>
      <c r="J2" s="47"/>
      <c r="M2" s="18"/>
      <c r="N2" s="17"/>
    </row>
  </sheetData>
  <phoneticPr fontId="3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F66671-D486-44F5-BBCF-C4AC82047753}">
          <x14:formula1>
            <xm:f>Águas!#REF!</xm:f>
          </x14:formula1>
          <xm:sqref>I2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Dashboard</vt:lpstr>
      <vt:lpstr>Águas</vt:lpstr>
      <vt:lpstr>Agua</vt:lpstr>
      <vt:lpstr>Fertilizante</vt:lpstr>
      <vt:lpstr>Metas</vt:lpstr>
      <vt:lpstr>Formulação</vt:lpstr>
      <vt:lpstr>Core</vt:lpstr>
      <vt:lpstr>Planilha2</vt:lpstr>
      <vt:lpstr>Resultados</vt:lpstr>
      <vt:lpstr>Testes</vt:lpstr>
      <vt:lpstr>Receitas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Fernandes</dc:creator>
  <cp:lastModifiedBy>Jefferson Fernandes</cp:lastModifiedBy>
  <dcterms:created xsi:type="dcterms:W3CDTF">2026-07-23T12:50:30Z</dcterms:created>
  <dcterms:modified xsi:type="dcterms:W3CDTF">2026-07-27T17:16:01Z</dcterms:modified>
</cp:coreProperties>
</file>